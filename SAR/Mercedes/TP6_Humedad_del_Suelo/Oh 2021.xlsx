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RCEDES\2021\CURSO_GULICH_2021\TP7_SSM\"/>
    </mc:Choice>
  </mc:AlternateContent>
  <bookViews>
    <workbookView xWindow="0" yWindow="0" windowWidth="16380" windowHeight="8190" tabRatio="505" activeTab="3"/>
  </bookViews>
  <sheets>
    <sheet name="Introducción" sheetId="1" r:id="rId1"/>
    <sheet name="Modelo Directo" sheetId="2" r:id="rId2"/>
    <sheet name="Versión extendida" sheetId="3" r:id="rId3"/>
    <sheet name="Modelo Inverso" sheetId="4" r:id="rId4"/>
  </sheets>
  <calcPr calcId="152511"/>
</workbook>
</file>

<file path=xl/calcChain.xml><?xml version="1.0" encoding="utf-8"?>
<calcChain xmlns="http://schemas.openxmlformats.org/spreadsheetml/2006/main">
  <c r="I65" i="2" l="1"/>
  <c r="J65" i="2"/>
  <c r="K65" i="2"/>
  <c r="L65" i="2"/>
  <c r="M65" i="2"/>
  <c r="I66" i="2"/>
  <c r="J66" i="2"/>
  <c r="K66" i="2"/>
  <c r="L66" i="2"/>
  <c r="M66" i="2"/>
  <c r="I67" i="2"/>
  <c r="J67" i="2"/>
  <c r="K67" i="2"/>
  <c r="L67" i="2"/>
  <c r="M67" i="2"/>
  <c r="I68" i="2"/>
  <c r="J68" i="2"/>
  <c r="K68" i="2"/>
  <c r="L68" i="2"/>
  <c r="M68" i="2"/>
  <c r="I69" i="2"/>
  <c r="J69" i="2"/>
  <c r="K69" i="2"/>
  <c r="L69" i="2"/>
  <c r="M69" i="2"/>
  <c r="I70" i="2"/>
  <c r="J70" i="2"/>
  <c r="K70" i="2"/>
  <c r="L70" i="2"/>
  <c r="M70" i="2"/>
  <c r="I71" i="2"/>
  <c r="J71" i="2"/>
  <c r="K71" i="2"/>
  <c r="L71" i="2"/>
  <c r="M71" i="2"/>
  <c r="I72" i="2"/>
  <c r="J72" i="2"/>
  <c r="K72" i="2"/>
  <c r="L72" i="2"/>
  <c r="M72" i="2"/>
  <c r="I73" i="2"/>
  <c r="J73" i="2"/>
  <c r="K73" i="2"/>
  <c r="L73" i="2"/>
  <c r="M73" i="2"/>
  <c r="I74" i="2"/>
  <c r="J74" i="2"/>
  <c r="K74" i="2"/>
  <c r="L74" i="2"/>
  <c r="M74" i="2"/>
  <c r="I75" i="2"/>
  <c r="J75" i="2"/>
  <c r="K75" i="2"/>
  <c r="L75" i="2"/>
  <c r="M75" i="2"/>
  <c r="I76" i="2"/>
  <c r="J76" i="2"/>
  <c r="K76" i="2"/>
  <c r="L76" i="2"/>
  <c r="M76" i="2"/>
  <c r="I77" i="2"/>
  <c r="J77" i="2"/>
  <c r="K77" i="2"/>
  <c r="L77" i="2"/>
  <c r="M77" i="2"/>
  <c r="I78" i="2"/>
  <c r="J78" i="2"/>
  <c r="K78" i="2"/>
  <c r="L78" i="2"/>
  <c r="M78" i="2"/>
  <c r="I79" i="2"/>
  <c r="J79" i="2"/>
  <c r="K79" i="2"/>
  <c r="L79" i="2"/>
  <c r="M79" i="2"/>
  <c r="I80" i="2"/>
  <c r="J80" i="2"/>
  <c r="K80" i="2"/>
  <c r="L80" i="2"/>
  <c r="M80" i="2"/>
  <c r="I81" i="2"/>
  <c r="J81" i="2"/>
  <c r="K81" i="2"/>
  <c r="L81" i="2"/>
  <c r="M81" i="2"/>
  <c r="I82" i="2"/>
  <c r="J82" i="2"/>
  <c r="K82" i="2"/>
  <c r="L82" i="2"/>
  <c r="M82" i="2"/>
  <c r="I83" i="2"/>
  <c r="J83" i="2"/>
  <c r="K83" i="2"/>
  <c r="L83" i="2"/>
  <c r="M83" i="2"/>
  <c r="I84" i="2"/>
  <c r="J84" i="2"/>
  <c r="K84" i="2"/>
  <c r="L84" i="2"/>
  <c r="M84" i="2"/>
  <c r="C5" i="4" l="1"/>
  <c r="K5" i="4"/>
  <c r="M4" i="2"/>
  <c r="L4" i="2"/>
  <c r="K4" i="2"/>
  <c r="J4" i="2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N4" i="4"/>
  <c r="M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4" i="4"/>
  <c r="K4" i="4"/>
  <c r="K13" i="4"/>
  <c r="O13" i="4"/>
  <c r="K14" i="4"/>
  <c r="O14" i="4"/>
  <c r="K15" i="4"/>
  <c r="O15" i="4"/>
  <c r="K16" i="4"/>
  <c r="O16" i="4"/>
  <c r="K17" i="4"/>
  <c r="O17" i="4"/>
  <c r="K12" i="4"/>
  <c r="O12" i="4"/>
  <c r="C10" i="4"/>
  <c r="K10" i="4"/>
  <c r="O10" i="4"/>
  <c r="C11" i="4"/>
  <c r="K11" i="4"/>
  <c r="O11" i="4"/>
  <c r="C12" i="4"/>
  <c r="C13" i="4"/>
  <c r="C14" i="4"/>
  <c r="C15" i="4"/>
  <c r="C16" i="4"/>
  <c r="C17" i="4"/>
  <c r="O5" i="4"/>
  <c r="C6" i="4"/>
  <c r="K6" i="4"/>
  <c r="O6" i="4"/>
  <c r="C7" i="4"/>
  <c r="K7" i="4"/>
  <c r="O7" i="4"/>
  <c r="C8" i="4"/>
  <c r="K8" i="4"/>
  <c r="O8" i="4"/>
  <c r="C9" i="4"/>
  <c r="K9" i="4"/>
  <c r="O9" i="4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I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C4" i="4"/>
  <c r="O4" i="4"/>
</calcChain>
</file>

<file path=xl/sharedStrings.xml><?xml version="1.0" encoding="utf-8"?>
<sst xmlns="http://schemas.openxmlformats.org/spreadsheetml/2006/main" count="55" uniqueCount="47">
  <si>
    <t>Modelo Directo</t>
  </si>
  <si>
    <t>Ángulo cenital de incidencia</t>
  </si>
  <si>
    <t>Longitud de onda del radar</t>
  </si>
  <si>
    <t>Humedad volúmetrica del suelo</t>
  </si>
  <si>
    <t>Altura RMS mínima del suelo</t>
  </si>
  <si>
    <t>Altura RMS máxima del suelo</t>
  </si>
  <si>
    <r>
      <t>Cociente mínimo de σ</t>
    </r>
    <r>
      <rPr>
        <vertAlign val="subscript"/>
        <sz val="10"/>
        <rFont val="DejaVu Sans"/>
        <family val="2"/>
      </rPr>
      <t>hh</t>
    </r>
    <r>
      <rPr>
        <sz val="10"/>
        <rFont val="DejaVu Sans"/>
        <family val="2"/>
      </rPr>
      <t>/σ</t>
    </r>
    <r>
      <rPr>
        <vertAlign val="subscript"/>
        <sz val="10"/>
        <rFont val="DejaVu Sans"/>
        <family val="2"/>
      </rPr>
      <t>vv</t>
    </r>
  </si>
  <si>
    <r>
      <t xml:space="preserve">θ </t>
    </r>
    <r>
      <rPr>
        <sz val="10"/>
        <rFont val="DejaVu Sans"/>
        <family val="2"/>
      </rPr>
      <t>(Grados)</t>
    </r>
  </si>
  <si>
    <r>
      <t>λ</t>
    </r>
    <r>
      <rPr>
        <sz val="10"/>
        <rFont val="DejaVu Sans"/>
        <family val="2"/>
      </rPr>
      <t xml:space="preserve"> (cm)</t>
    </r>
  </si>
  <si>
    <r>
      <t>M</t>
    </r>
    <r>
      <rPr>
        <vertAlign val="subscript"/>
        <sz val="10"/>
        <rFont val="DejaVu Sans"/>
        <family val="2"/>
      </rPr>
      <t>v</t>
    </r>
    <r>
      <rPr>
        <sz val="10"/>
        <rFont val="DejaVu Sans"/>
        <family val="2"/>
      </rPr>
      <t xml:space="preserve"> (m</t>
    </r>
    <r>
      <rPr>
        <vertAlign val="superscript"/>
        <sz val="10"/>
        <rFont val="DejaVu Sans"/>
        <family val="2"/>
      </rPr>
      <t>3</t>
    </r>
    <r>
      <rPr>
        <sz val="10"/>
        <rFont val="DejaVu Sans"/>
        <family val="2"/>
      </rPr>
      <t>/m</t>
    </r>
    <r>
      <rPr>
        <vertAlign val="superscript"/>
        <sz val="10"/>
        <rFont val="DejaVu Sans"/>
        <family val="2"/>
      </rPr>
      <t>3</t>
    </r>
    <r>
      <rPr>
        <sz val="10"/>
        <rFont val="DejaVu Sans"/>
        <family val="2"/>
      </rPr>
      <t>)</t>
    </r>
  </si>
  <si>
    <r>
      <t>s</t>
    </r>
    <r>
      <rPr>
        <i/>
        <vertAlign val="subscript"/>
        <sz val="10"/>
        <rFont val="DejaVu Sans"/>
        <family val="2"/>
      </rPr>
      <t>min</t>
    </r>
    <r>
      <rPr>
        <i/>
        <sz val="10"/>
        <rFont val="DejaVu Sans"/>
        <family val="2"/>
      </rPr>
      <t xml:space="preserve"> (cm)</t>
    </r>
  </si>
  <si>
    <r>
      <t>s</t>
    </r>
    <r>
      <rPr>
        <i/>
        <vertAlign val="subscript"/>
        <sz val="10"/>
        <rFont val="DejaVu Sans"/>
        <family val="2"/>
      </rPr>
      <t>max</t>
    </r>
    <r>
      <rPr>
        <i/>
        <sz val="10"/>
        <rFont val="DejaVu Sans"/>
        <family val="2"/>
      </rPr>
      <t xml:space="preserve"> (cm)</t>
    </r>
  </si>
  <si>
    <r>
      <t>p</t>
    </r>
    <r>
      <rPr>
        <i/>
        <vertAlign val="subscript"/>
        <sz val="10"/>
        <rFont val="DejaVu Sans"/>
        <family val="2"/>
      </rPr>
      <t>min</t>
    </r>
  </si>
  <si>
    <r>
      <t>p</t>
    </r>
    <r>
      <rPr>
        <i/>
        <vertAlign val="subscript"/>
        <sz val="10"/>
        <rFont val="DejaVu Sans"/>
        <family val="2"/>
      </rPr>
      <t>max</t>
    </r>
  </si>
  <si>
    <t>Backscattering en polarización HH</t>
  </si>
  <si>
    <t>Backscattering en polarización VV</t>
  </si>
  <si>
    <t>Cociente copol</t>
  </si>
  <si>
    <r>
      <t>σ</t>
    </r>
    <r>
      <rPr>
        <vertAlign val="superscript"/>
        <sz val="10"/>
        <rFont val="DejaVu Sans"/>
        <family val="2"/>
      </rPr>
      <t>0</t>
    </r>
    <r>
      <rPr>
        <vertAlign val="subscript"/>
        <sz val="10"/>
        <rFont val="DejaVu Sans"/>
        <family val="2"/>
      </rPr>
      <t>hh</t>
    </r>
    <r>
      <rPr>
        <sz val="10"/>
        <rFont val="DejaVu Sans"/>
        <family val="2"/>
      </rPr>
      <t xml:space="preserve"> (Potencia)</t>
    </r>
  </si>
  <si>
    <r>
      <t>σ</t>
    </r>
    <r>
      <rPr>
        <vertAlign val="superscript"/>
        <sz val="10"/>
        <rFont val="DejaVu Sans"/>
        <family val="2"/>
      </rPr>
      <t>0</t>
    </r>
    <r>
      <rPr>
        <vertAlign val="subscript"/>
        <sz val="10"/>
        <rFont val="DejaVu Sans"/>
        <family val="2"/>
      </rPr>
      <t>vv</t>
    </r>
    <r>
      <rPr>
        <sz val="10"/>
        <rFont val="DejaVu Sans"/>
        <family val="2"/>
      </rPr>
      <t xml:space="preserve"> (Potencia)</t>
    </r>
  </si>
  <si>
    <t>p</t>
  </si>
  <si>
    <r>
      <t>Mv</t>
    </r>
    <r>
      <rPr>
        <i/>
        <vertAlign val="subscript"/>
        <sz val="10"/>
        <rFont val="DejaVu Sans"/>
        <family val="2"/>
      </rPr>
      <t>min</t>
    </r>
    <r>
      <rPr>
        <i/>
        <sz val="10"/>
        <rFont val="DejaVu Sans"/>
        <family val="2"/>
      </rPr>
      <t xml:space="preserve"> (m³/m³)</t>
    </r>
  </si>
  <si>
    <r>
      <t>Mv</t>
    </r>
    <r>
      <rPr>
        <i/>
        <vertAlign val="subscript"/>
        <sz val="10"/>
        <rFont val="DejaVu Sans"/>
        <family val="2"/>
      </rPr>
      <t>max</t>
    </r>
    <r>
      <rPr>
        <i/>
        <sz val="10"/>
        <rFont val="DejaVu Sans"/>
        <family val="2"/>
      </rPr>
      <t xml:space="preserve"> (m³/m³)</t>
    </r>
  </si>
  <si>
    <r>
      <t>s</t>
    </r>
    <r>
      <rPr>
        <i/>
        <vertAlign val="subscript"/>
        <sz val="10"/>
        <rFont val="DejaVu Sans"/>
        <family val="2"/>
      </rPr>
      <t>1</t>
    </r>
    <r>
      <rPr>
        <i/>
        <sz val="10"/>
        <rFont val="DejaVu Sans"/>
        <family val="2"/>
      </rPr>
      <t xml:space="preserve"> (cm)</t>
    </r>
  </si>
  <si>
    <r>
      <t>s</t>
    </r>
    <r>
      <rPr>
        <i/>
        <vertAlign val="subscript"/>
        <sz val="10"/>
        <rFont val="DejaVu Sans"/>
        <family val="2"/>
      </rPr>
      <t>2</t>
    </r>
    <r>
      <rPr>
        <i/>
        <sz val="10"/>
        <rFont val="DejaVu Sans"/>
        <family val="2"/>
      </rPr>
      <t xml:space="preserve"> (cm)</t>
    </r>
  </si>
  <si>
    <r>
      <t>s</t>
    </r>
    <r>
      <rPr>
        <i/>
        <vertAlign val="subscript"/>
        <sz val="10"/>
        <rFont val="DejaVu Sans"/>
        <family val="2"/>
      </rPr>
      <t>3</t>
    </r>
    <r>
      <rPr>
        <i/>
        <sz val="10"/>
        <rFont val="DejaVu Sans"/>
        <family val="2"/>
      </rPr>
      <t xml:space="preserve"> (cm)</t>
    </r>
  </si>
  <si>
    <r>
      <t>p</t>
    </r>
    <r>
      <rPr>
        <i/>
        <vertAlign val="subscript"/>
        <sz val="10"/>
        <rFont val="DejaVu Sans"/>
        <family val="2"/>
      </rPr>
      <t>1</t>
    </r>
  </si>
  <si>
    <r>
      <t>p</t>
    </r>
    <r>
      <rPr>
        <i/>
        <vertAlign val="subscript"/>
        <sz val="10"/>
        <rFont val="DejaVu Sans"/>
        <family val="2"/>
      </rPr>
      <t>2</t>
    </r>
  </si>
  <si>
    <r>
      <t>p</t>
    </r>
    <r>
      <rPr>
        <i/>
        <vertAlign val="subscript"/>
        <sz val="10"/>
        <rFont val="DejaVu Sans"/>
        <family val="2"/>
      </rPr>
      <t>3</t>
    </r>
  </si>
  <si>
    <r>
      <t>Cociente máximo de σ</t>
    </r>
    <r>
      <rPr>
        <vertAlign val="subscript"/>
        <sz val="10"/>
        <rFont val="DejaVu Sans"/>
        <family val="2"/>
      </rPr>
      <t>hh</t>
    </r>
    <r>
      <rPr>
        <sz val="10"/>
        <rFont val="DejaVu Sans"/>
        <family val="2"/>
      </rPr>
      <t>/σ</t>
    </r>
    <r>
      <rPr>
        <vertAlign val="subscript"/>
        <sz val="10"/>
        <rFont val="DejaVu Sans"/>
        <family val="2"/>
      </rPr>
      <t>vv</t>
    </r>
  </si>
  <si>
    <t>Cociente de σhh/σvv para s1</t>
  </si>
  <si>
    <t>Cociente de σhh/σvv para s2</t>
  </si>
  <si>
    <t>Cociente de σhh/σvv para s3</t>
  </si>
  <si>
    <t>S1 (cm)</t>
  </si>
  <si>
    <t>S2 (cm)</t>
  </si>
  <si>
    <t>Modelo Inverso de Oh</t>
  </si>
  <si>
    <t>S3 (cm)</t>
  </si>
  <si>
    <r>
      <t>Mv</t>
    </r>
    <r>
      <rPr>
        <i/>
        <vertAlign val="subscript"/>
        <sz val="10"/>
        <rFont val="DejaVu Sans"/>
        <family val="2"/>
      </rPr>
      <t>2</t>
    </r>
    <r>
      <rPr>
        <i/>
        <sz val="10"/>
        <rFont val="DejaVu Sans"/>
        <family val="2"/>
      </rPr>
      <t xml:space="preserve"> (m³/m³)</t>
    </r>
  </si>
  <si>
    <r>
      <t>Mv</t>
    </r>
    <r>
      <rPr>
        <i/>
        <vertAlign val="subscript"/>
        <sz val="10"/>
        <rFont val="DejaVu Sans"/>
        <family val="2"/>
      </rPr>
      <t>1</t>
    </r>
    <r>
      <rPr>
        <i/>
        <sz val="10"/>
        <rFont val="DejaVu Sans"/>
        <family val="2"/>
      </rPr>
      <t xml:space="preserve"> (m³/m³)</t>
    </r>
  </si>
  <si>
    <r>
      <t>Mv</t>
    </r>
    <r>
      <rPr>
        <i/>
        <vertAlign val="subscript"/>
        <sz val="10"/>
        <rFont val="DejaVu Sans"/>
        <family val="2"/>
      </rPr>
      <t>3</t>
    </r>
    <r>
      <rPr>
        <i/>
        <sz val="10"/>
        <rFont val="DejaVu Sans"/>
        <family val="2"/>
      </rPr>
      <t xml:space="preserve"> (m³/m³)</t>
    </r>
  </si>
  <si>
    <t>Altura RMS intermedia 1 del suelo</t>
  </si>
  <si>
    <t>Altura RMS intermedia 2 del suelo</t>
  </si>
  <si>
    <t>Altura RMS intermedia 3 del suelo</t>
  </si>
  <si>
    <t>Humedad intermedia 1 del suelo</t>
  </si>
  <si>
    <t>Humedad mínima del suelo</t>
  </si>
  <si>
    <t>Humedad intermedia 2 del suelo</t>
  </si>
  <si>
    <t>Humedad intermedia 3 del suelo</t>
  </si>
  <si>
    <t>Humedad máxima del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</si>
</sst>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DejaVu Sans"/>
      <family val="2"/>
    </font>
    <font>
      <i/>
      <sz val="10"/>
      <name val="DejaVu Sans"/>
      <family val="2"/>
    </font>
    <font>
      <vertAlign val="subscript"/>
      <sz val="10"/>
      <name val="DejaVu Sans"/>
      <family val="2"/>
    </font>
    <font>
      <i/>
      <vertAlign val="subscript"/>
      <sz val="10"/>
      <name val="DejaVu Sans"/>
      <family val="2"/>
    </font>
    <font>
      <sz val="14"/>
      <name val="DejaVu Sans"/>
      <family val="2"/>
    </font>
    <font>
      <vertAlign val="superscript"/>
      <sz val="10"/>
      <name val="DejaVu Sans"/>
      <family val="2"/>
    </font>
    <font>
      <i/>
      <sz val="18"/>
      <name val="DejaVu Sans"/>
      <family val="2"/>
    </font>
    <font>
      <sz val="8"/>
      <name val="DejaVu Sans"/>
      <family val="2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31"/>
      </patternFill>
    </fill>
    <fill>
      <patternFill patternType="solid">
        <fgColor indexed="44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7"/>
        <bgColor indexed="31"/>
      </patternFill>
    </fill>
    <fill>
      <patternFill patternType="solid">
        <fgColor indexed="50"/>
        <bgColor indexed="55"/>
      </patternFill>
    </fill>
    <fill>
      <patternFill patternType="solid">
        <fgColor indexed="46"/>
        <bgColor indexed="31"/>
      </patternFill>
    </fill>
    <fill>
      <patternFill patternType="solid">
        <fgColor indexed="45"/>
        <bgColor indexed="31"/>
      </patternFill>
    </fill>
    <fill>
      <patternFill patternType="solid">
        <fgColor indexed="50"/>
        <bgColor indexed="31"/>
      </patternFill>
    </fill>
    <fill>
      <patternFill patternType="solid">
        <fgColor indexed="42"/>
        <bgColor indexed="34"/>
      </patternFill>
    </fill>
    <fill>
      <patternFill patternType="solid">
        <fgColor indexed="22"/>
        <bgColor indexed="34"/>
      </patternFill>
    </fill>
    <fill>
      <patternFill patternType="solid">
        <fgColor indexed="40"/>
        <bgColor indexed="34"/>
      </patternFill>
    </fill>
    <fill>
      <patternFill patternType="solid">
        <fgColor theme="4" tint="0.39997558519241921"/>
        <bgColor indexed="22"/>
      </patternFill>
    </fill>
    <fill>
      <patternFill patternType="solid">
        <fgColor theme="4" tint="0.59999389629810485"/>
        <bgColor indexed="22"/>
      </patternFill>
    </fill>
    <fill>
      <patternFill patternType="solid">
        <fgColor theme="4" tint="0.79998168889431442"/>
        <bgColor indexed="22"/>
      </patternFill>
    </fill>
    <fill>
      <patternFill patternType="solid">
        <fgColor theme="4" tint="-0.249977111117893"/>
        <bgColor indexed="31"/>
      </patternFill>
    </fill>
    <fill>
      <patternFill patternType="solid">
        <fgColor rgb="FFFFFF66"/>
        <bgColor rgb="FFFFFF66"/>
      </patternFill>
    </fill>
    <fill>
      <patternFill patternType="solid">
        <fgColor rgb="FFFFCC66"/>
        <bgColor indexed="34"/>
      </patternFill>
    </fill>
    <fill>
      <patternFill patternType="solid">
        <fgColor rgb="FFFFCC00"/>
        <bgColor indexed="34"/>
      </patternFill>
    </fill>
    <fill>
      <patternFill patternType="solid">
        <fgColor rgb="FFFF9966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2" borderId="0" xfId="0" applyFont="1" applyFill="1" applyAlignment="1">
      <alignment horizontal="center" vertical="center" textRotation="80"/>
    </xf>
    <xf numFmtId="0" fontId="0" fillId="3" borderId="0" xfId="0" applyFont="1" applyFill="1" applyAlignment="1">
      <alignment horizontal="center" vertical="center" textRotation="80"/>
    </xf>
    <xf numFmtId="0" fontId="0" fillId="4" borderId="0" xfId="0" applyFont="1" applyFill="1" applyAlignment="1">
      <alignment horizontal="center" vertical="center" textRotation="80"/>
    </xf>
    <xf numFmtId="0" fontId="0" fillId="5" borderId="0" xfId="0" applyFont="1" applyFill="1" applyAlignment="1">
      <alignment horizontal="center" vertical="center" textRotation="80"/>
    </xf>
    <xf numFmtId="0" fontId="0" fillId="6" borderId="0" xfId="0" applyFont="1" applyFill="1" applyAlignment="1">
      <alignment horizontal="center" vertical="center" textRotation="80"/>
    </xf>
    <xf numFmtId="0" fontId="0" fillId="8" borderId="0" xfId="0" applyFont="1" applyFill="1" applyAlignment="1">
      <alignment horizontal="center" vertical="center" textRotation="80"/>
    </xf>
    <xf numFmtId="0" fontId="6" fillId="0" borderId="0" xfId="0" applyFont="1" applyAlignment="1">
      <alignment horizontal="center" vertical="center"/>
    </xf>
    <xf numFmtId="0" fontId="0" fillId="9" borderId="0" xfId="0" applyFont="1" applyFill="1" applyAlignment="1">
      <alignment horizontal="center" vertical="center" textRotation="80"/>
    </xf>
    <xf numFmtId="0" fontId="0" fillId="0" borderId="0" xfId="0" applyFont="1"/>
    <xf numFmtId="0" fontId="0" fillId="0" borderId="0" xfId="0" applyAlignment="1">
      <alignment horizontal="center" vertical="center"/>
    </xf>
    <xf numFmtId="0" fontId="0" fillId="10" borderId="0" xfId="0" applyFont="1" applyFill="1" applyAlignment="1">
      <alignment horizontal="center" vertical="center" textRotation="80"/>
    </xf>
    <xf numFmtId="0" fontId="0" fillId="11" borderId="0" xfId="0" applyFont="1" applyFill="1" applyAlignment="1">
      <alignment horizontal="center" vertical="center" textRotation="80"/>
    </xf>
    <xf numFmtId="0" fontId="0" fillId="12" borderId="0" xfId="0" applyFont="1" applyFill="1" applyAlignment="1">
      <alignment horizontal="center" vertical="center" textRotation="80"/>
    </xf>
    <xf numFmtId="0" fontId="0" fillId="7" borderId="0" xfId="0" applyFill="1" applyAlignment="1">
      <alignment horizontal="center" vertical="center" textRotation="80"/>
    </xf>
    <xf numFmtId="0" fontId="0" fillId="8" borderId="0" xfId="0" applyFill="1" applyAlignment="1">
      <alignment horizontal="center" vertical="center" textRotation="80"/>
    </xf>
    <xf numFmtId="0" fontId="0" fillId="13" borderId="0" xfId="0" applyFill="1" applyAlignment="1">
      <alignment horizontal="center" vertical="center" textRotation="80"/>
    </xf>
    <xf numFmtId="0" fontId="0" fillId="14" borderId="0" xfId="0" applyFill="1" applyAlignment="1">
      <alignment horizontal="center" vertical="center" textRotation="80"/>
    </xf>
    <xf numFmtId="0" fontId="0" fillId="15" borderId="0" xfId="0" applyFill="1" applyAlignment="1">
      <alignment horizontal="center" vertical="center" textRotation="80"/>
    </xf>
    <xf numFmtId="0" fontId="0" fillId="16" borderId="0" xfId="0" applyFont="1" applyFill="1" applyAlignment="1">
      <alignment horizontal="center" vertical="center" textRotation="80"/>
    </xf>
    <xf numFmtId="0" fontId="0" fillId="17" borderId="0" xfId="0" applyFont="1" applyFill="1" applyAlignment="1">
      <alignment horizontal="center" vertical="center" textRotation="80"/>
    </xf>
    <xf numFmtId="0" fontId="0" fillId="18" borderId="0" xfId="0" applyFont="1" applyFill="1" applyAlignment="1">
      <alignment horizontal="center" vertical="center" textRotation="80"/>
    </xf>
    <xf numFmtId="0" fontId="0" fillId="19" borderId="0" xfId="0" applyFont="1" applyFill="1" applyAlignment="1">
      <alignment horizontal="center" vertical="center" textRotation="80"/>
    </xf>
    <xf numFmtId="0" fontId="0" fillId="20" borderId="0" xfId="0" applyFont="1" applyFill="1" applyAlignment="1">
      <alignment horizontal="center" vertical="center" textRotation="80"/>
    </xf>
    <xf numFmtId="0" fontId="0" fillId="21" borderId="0" xfId="0" applyFont="1" applyFill="1" applyAlignment="1">
      <alignment horizontal="center" vertical="center" textRotation="80"/>
    </xf>
    <xf numFmtId="0" fontId="0" fillId="22" borderId="0" xfId="0" applyFont="1" applyFill="1" applyAlignment="1">
      <alignment horizontal="center" vertical="center" textRotation="80"/>
    </xf>
    <xf numFmtId="0" fontId="0" fillId="23" borderId="0" xfId="0" applyFont="1" applyFill="1" applyAlignment="1">
      <alignment horizontal="center" vertical="center" textRotation="80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E6E64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4BD5E"/>
      <rgbColor rgb="00FFCC00"/>
      <rgbColor rgb="00FF9900"/>
      <rgbColor rgb="00FF420E"/>
      <rgbColor rgb="00666666"/>
      <rgbColor rgb="00B3B3B3"/>
      <rgbColor rgb="0000458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66"/>
      <color rgb="FFFF6600"/>
      <color rgb="FFFFCC00"/>
      <color rgb="FFFFCC66"/>
      <color rgb="FFFFFF66"/>
      <color rgb="FFFFFF00"/>
      <color rgb="FFCDC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30" b="0" i="0" u="none" strike="noStrike" baseline="0">
                <a:solidFill>
                  <a:srgbClr val="000000"/>
                </a:solidFill>
                <a:latin typeface="DejaVu Sans"/>
                <a:ea typeface="DejaVu Sans"/>
                <a:cs typeface="DejaVu Sans"/>
              </a:defRPr>
            </a:pPr>
            <a:r>
              <a:rPr lang="es-ES"/>
              <a:t>Main Title</a:t>
            </a:r>
          </a:p>
        </c:rich>
      </c:tx>
      <c:layout>
        <c:manualLayout>
          <c:xMode val="edge"/>
          <c:yMode val="edge"/>
          <c:x val="0.40071368605678154"/>
          <c:y val="2.97029702970297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45231939534377E-2"/>
          <c:y val="0.21188139298556716"/>
          <c:w val="0.7669445594347778"/>
          <c:h val="0.68118877744892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'Modelo Directo'!$I$3</c:f>
              <c:strCache>
                <c:ptCount val="1"/>
                <c:pt idx="0">
                  <c:v>pmin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Directo'!$I$4:$I$84</c:f>
              <c:numCache>
                <c:formatCode>General</c:formatCode>
                <c:ptCount val="81"/>
                <c:pt idx="0">
                  <c:v>0.98011424528755464</c:v>
                </c:pt>
                <c:pt idx="1">
                  <c:v>0.97499145621665195</c:v>
                </c:pt>
                <c:pt idx="2">
                  <c:v>0.96953955357582633</c:v>
                </c:pt>
                <c:pt idx="3">
                  <c:v>0.96382908027940029</c:v>
                </c:pt>
                <c:pt idx="4">
                  <c:v>0.95792028545139707</c:v>
                </c:pt>
                <c:pt idx="5">
                  <c:v>0.95186405457678602</c:v>
                </c:pt>
                <c:pt idx="6">
                  <c:v>0.94570304393345084</c:v>
                </c:pt>
                <c:pt idx="7">
                  <c:v>0.9394728221879014</c:v>
                </c:pt>
                <c:pt idx="8">
                  <c:v>0.93320292803813909</c:v>
                </c:pt>
                <c:pt idx="9">
                  <c:v>0.92691780853533501</c:v>
                </c:pt>
                <c:pt idx="10">
                  <c:v>0.92063763106490926</c:v>
                </c:pt>
                <c:pt idx="11">
                  <c:v>0.91437897554367487</c:v>
                </c:pt>
                <c:pt idx="12">
                  <c:v>0.90815541912406361</c:v>
                </c:pt>
                <c:pt idx="13">
                  <c:v>0.90197802737569877</c:v>
                </c:pt>
                <c:pt idx="14">
                  <c:v>0.89585576559383817</c:v>
                </c:pt>
                <c:pt idx="15">
                  <c:v>0.88979584266597056</c:v>
                </c:pt>
                <c:pt idx="16">
                  <c:v>0.88380399839123269</c:v>
                </c:pt>
                <c:pt idx="17">
                  <c:v>0.87788474358514546</c:v>
                </c:pt>
                <c:pt idx="18">
                  <c:v>0.87204156085196916</c:v>
                </c:pt>
                <c:pt idx="19">
                  <c:v>0.86627707262360876</c:v>
                </c:pt>
                <c:pt idx="20">
                  <c:v>0.86059318195956624</c:v>
                </c:pt>
                <c:pt idx="21">
                  <c:v>0.85499119066825557</c:v>
                </c:pt>
                <c:pt idx="22">
                  <c:v>0.8494718985284011</c:v>
                </c:pt>
                <c:pt idx="23">
                  <c:v>0.84403568673981821</c:v>
                </c:pt>
                <c:pt idx="24">
                  <c:v>0.83868258819556829</c:v>
                </c:pt>
                <c:pt idx="25">
                  <c:v>0.83341234672400977</c:v>
                </c:pt>
                <c:pt idx="26">
                  <c:v>0.82822446708368391</c:v>
                </c:pt>
                <c:pt idx="27">
                  <c:v>0.82311825719267007</c:v>
                </c:pt>
                <c:pt idx="28">
                  <c:v>0.81809286382561797</c:v>
                </c:pt>
                <c:pt idx="29">
                  <c:v>0.81314730280666681</c:v>
                </c:pt>
                <c:pt idx="30">
                  <c:v>0.80828048455707902</c:v>
                </c:pt>
                <c:pt idx="31">
                  <c:v>0.80349123571627323</c:v>
                </c:pt>
                <c:pt idx="32">
                  <c:v>0.79877831743878325</c:v>
                </c:pt>
                <c:pt idx="33">
                  <c:v>0.79414044087323477</c:v>
                </c:pt>
                <c:pt idx="34">
                  <c:v>0.78957628024921078</c:v>
                </c:pt>
                <c:pt idx="35">
                  <c:v>0.78508448393102936</c:v>
                </c:pt>
                <c:pt idx="36">
                  <c:v>0.78066368374163098</c:v>
                </c:pt>
                <c:pt idx="37">
                  <c:v>0.77631250281307329</c:v>
                </c:pt>
                <c:pt idx="38">
                  <c:v>0.77202956218098828</c:v>
                </c:pt>
                <c:pt idx="39">
                  <c:v>0.76781348630747204</c:v>
                </c:pt>
                <c:pt idx="40">
                  <c:v>0.76366290768922473</c:v>
                </c:pt>
                <c:pt idx="41">
                  <c:v>0.75957647068442791</c:v>
                </c:pt>
                <c:pt idx="42">
                  <c:v>0.75555283467216172</c:v>
                </c:pt>
                <c:pt idx="43">
                  <c:v>0.75159067664149892</c:v>
                </c:pt>
                <c:pt idx="44">
                  <c:v>0.74768869329329557</c:v>
                </c:pt>
                <c:pt idx="45">
                  <c:v>0.74384560272571454</c:v>
                </c:pt>
                <c:pt idx="46">
                  <c:v>0.74006014576432622</c:v>
                </c:pt>
                <c:pt idx="47">
                  <c:v>0.73633108698895278</c:v>
                </c:pt>
                <c:pt idx="48">
                  <c:v>0.73265721550202945</c:v>
                </c:pt>
                <c:pt idx="49">
                  <c:v>0.72903734547692789</c:v>
                </c:pt>
                <c:pt idx="50">
                  <c:v>0.72547031651928751</c:v>
                </c:pt>
                <c:pt idx="51">
                  <c:v>0.72195499386977091</c:v>
                </c:pt>
                <c:pt idx="52">
                  <c:v>0.71849026847269171</c:v>
                </c:pt>
                <c:pt idx="53">
                  <c:v>0.71507505693155804</c:v>
                </c:pt>
                <c:pt idx="54">
                  <c:v>0.71170830136964214</c:v>
                </c:pt>
                <c:pt idx="55">
                  <c:v>0.70838896921117778</c:v>
                </c:pt>
                <c:pt idx="56">
                  <c:v>0.70511605289660806</c:v>
                </c:pt>
                <c:pt idx="57">
                  <c:v>0.70188856954344381</c:v>
                </c:pt>
                <c:pt idx="58">
                  <c:v>0.69870556056267752</c:v>
                </c:pt>
                <c:pt idx="59">
                  <c:v>0.69556609123930535</c:v>
                </c:pt>
                <c:pt idx="60">
                  <c:v>0.69246925028430883</c:v>
                </c:pt>
                <c:pt idx="61">
                  <c:v>0.68941414936440371</c:v>
                </c:pt>
                <c:pt idx="62">
                  <c:v>0.68639992261496907</c:v>
                </c:pt>
                <c:pt idx="63">
                  <c:v>0.68342572614078811</c:v>
                </c:pt>
                <c:pt idx="64">
                  <c:v>0.68049073750855771</c:v>
                </c:pt>
                <c:pt idx="65">
                  <c:v>0.67759415523454369</c:v>
                </c:pt>
                <c:pt idx="66">
                  <c:v>0.67473519827024842</c:v>
                </c:pt>
                <c:pt idx="67">
                  <c:v>0.6719131054885239</c:v>
                </c:pt>
                <c:pt idx="68">
                  <c:v>0.66912713517218048</c:v>
                </c:pt>
                <c:pt idx="69">
                  <c:v>0.66637656450681804</c:v>
                </c:pt>
                <c:pt idx="70">
                  <c:v>0.66366068907931375</c:v>
                </c:pt>
                <c:pt idx="71">
                  <c:v>0.66097882238316397</c:v>
                </c:pt>
                <c:pt idx="72">
                  <c:v>0.65833029533165699</c:v>
                </c:pt>
                <c:pt idx="73">
                  <c:v>0.65571445577967546</c:v>
                </c:pt>
                <c:pt idx="74">
                  <c:v>0.65313066805476283</c:v>
                </c:pt>
                <c:pt idx="75">
                  <c:v>0.65057831249795539</c:v>
                </c:pt>
                <c:pt idx="76">
                  <c:v>0.6480567850147616</c:v>
                </c:pt>
                <c:pt idx="77">
                  <c:v>0.6455654966365687</c:v>
                </c:pt>
                <c:pt idx="78">
                  <c:v>0.64310387309267059</c:v>
                </c:pt>
                <c:pt idx="79">
                  <c:v>0.64067135439303458</c:v>
                </c:pt>
                <c:pt idx="80">
                  <c:v>0.63826739442186364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'Modelo Directo'!$J$3</c:f>
              <c:strCache>
                <c:ptCount val="1"/>
                <c:pt idx="0">
                  <c:v>pmax</c:v>
                </c:pt>
              </c:strCache>
            </c:strRef>
          </c:tx>
          <c:spPr>
            <a:ln w="25400">
              <a:solidFill>
                <a:srgbClr val="666666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Directo'!$J$4:$J$84</c:f>
              <c:numCache>
                <c:formatCode>General</c:formatCode>
                <c:ptCount val="81"/>
                <c:pt idx="0">
                  <c:v>0.99239642827950325</c:v>
                </c:pt>
                <c:pt idx="1">
                  <c:v>0.99043766459802185</c:v>
                </c:pt>
                <c:pt idx="2">
                  <c:v>0.98835306014915281</c:v>
                </c:pt>
                <c:pt idx="3">
                  <c:v>0.98616958791512277</c:v>
                </c:pt>
                <c:pt idx="4">
                  <c:v>0.98391028491626276</c:v>
                </c:pt>
                <c:pt idx="5">
                  <c:v>0.98159460786618968</c:v>
                </c:pt>
                <c:pt idx="6">
                  <c:v>0.97923886693632567</c:v>
                </c:pt>
                <c:pt idx="7">
                  <c:v>0.97685666225956602</c:v>
                </c:pt>
                <c:pt idx="8">
                  <c:v>0.97445928833350604</c:v>
                </c:pt>
                <c:pt idx="9">
                  <c:v>0.9720560927996923</c:v>
                </c:pt>
                <c:pt idx="10">
                  <c:v>0.96965478691493534</c:v>
                </c:pt>
                <c:pt idx="11">
                  <c:v>0.96726171022170804</c:v>
                </c:pt>
                <c:pt idx="12">
                  <c:v>0.96488205411725769</c:v>
                </c:pt>
                <c:pt idx="13">
                  <c:v>0.96252004966313953</c:v>
                </c:pt>
                <c:pt idx="14">
                  <c:v>0.96017912485424106</c:v>
                </c:pt>
                <c:pt idx="15">
                  <c:v>0.9578620361005572</c:v>
                </c:pt>
                <c:pt idx="16">
                  <c:v>0.95557097808743063</c:v>
                </c:pt>
                <c:pt idx="17">
                  <c:v>0.95330767558265761</c:v>
                </c:pt>
                <c:pt idx="18">
                  <c:v>0.95107346020435624</c:v>
                </c:pt>
                <c:pt idx="19">
                  <c:v>0.94886933467278334</c:v>
                </c:pt>
                <c:pt idx="20">
                  <c:v>0.94669602664699026</c:v>
                </c:pt>
                <c:pt idx="21">
                  <c:v>0.94455403389001336</c:v>
                </c:pt>
                <c:pt idx="22">
                  <c:v>0.94244366220743925</c:v>
                </c:pt>
                <c:pt idx="23">
                  <c:v>0.94036505735587539</c:v>
                </c:pt>
                <c:pt idx="24">
                  <c:v>0.9383182319124026</c:v>
                </c:pt>
                <c:pt idx="25">
                  <c:v>0.93630308792652961</c:v>
                </c:pt>
                <c:pt idx="26">
                  <c:v>0.93431943603637346</c:v>
                </c:pt>
                <c:pt idx="27">
                  <c:v>0.93236701161559277</c:v>
                </c:pt>
                <c:pt idx="28">
                  <c:v>0.930445488422602</c:v>
                </c:pt>
                <c:pt idx="29">
                  <c:v>0.9285544901452194</c:v>
                </c:pt>
                <c:pt idx="30">
                  <c:v>0.92669360016912994</c:v>
                </c:pt>
                <c:pt idx="31">
                  <c:v>0.92486236984496317</c:v>
                </c:pt>
                <c:pt idx="32">
                  <c:v>0.92306032548436823</c:v>
                </c:pt>
                <c:pt idx="33">
                  <c:v>0.9212869742785984</c:v>
                </c:pt>
                <c:pt idx="34">
                  <c:v>0.91954180930244012</c:v>
                </c:pt>
                <c:pt idx="35">
                  <c:v>0.91782431374076656</c:v>
                </c:pt>
                <c:pt idx="36">
                  <c:v>0.91613396445364392</c:v>
                </c:pt>
                <c:pt idx="37">
                  <c:v>0.91447023497806912</c:v>
                </c:pt>
                <c:pt idx="38">
                  <c:v>0.91283259804944372</c:v>
                </c:pt>
                <c:pt idx="39">
                  <c:v>0.9112205277133214</c:v>
                </c:pt>
                <c:pt idx="40">
                  <c:v>0.9096335010873895</c:v>
                </c:pt>
                <c:pt idx="41">
                  <c:v>0.90807099982472339</c:v>
                </c:pt>
                <c:pt idx="42">
                  <c:v>0.90653251132183077</c:v>
                </c:pt>
                <c:pt idx="43">
                  <c:v>0.90501752970862437</c:v>
                </c:pt>
                <c:pt idx="44">
                  <c:v>0.90352555665206846</c:v>
                </c:pt>
                <c:pt idx="45">
                  <c:v>0.90205610200066022</c:v>
                </c:pt>
                <c:pt idx="46">
                  <c:v>0.90060868429301055</c:v>
                </c:pt>
                <c:pt idx="47">
                  <c:v>0.8991828311504716</c:v>
                </c:pt>
                <c:pt idx="48">
                  <c:v>0.8977780795709287</c:v>
                </c:pt>
                <c:pt idx="49">
                  <c:v>0.8963939761384595</c:v>
                </c:pt>
                <c:pt idx="50">
                  <c:v>0.89503007716149319</c:v>
                </c:pt>
                <c:pt idx="51">
                  <c:v>0.8936859487503368</c:v>
                </c:pt>
                <c:pt idx="52">
                  <c:v>0.89236116684341571</c:v>
                </c:pt>
                <c:pt idx="53">
                  <c:v>0.89105531719027553</c:v>
                </c:pt>
                <c:pt idx="54">
                  <c:v>0.88976799529826867</c:v>
                </c:pt>
                <c:pt idx="55">
                  <c:v>0.88849880634889278</c:v>
                </c:pt>
                <c:pt idx="56">
                  <c:v>0.88724736508891189</c:v>
                </c:pt>
                <c:pt idx="57">
                  <c:v>0.8860132957006811</c:v>
                </c:pt>
                <c:pt idx="58">
                  <c:v>0.88479623165547816</c:v>
                </c:pt>
                <c:pt idx="59">
                  <c:v>0.88359581555311029</c:v>
                </c:pt>
                <c:pt idx="60">
                  <c:v>0.88241169895060834</c:v>
                </c:pt>
                <c:pt idx="61">
                  <c:v>0.88124354218242107</c:v>
                </c:pt>
                <c:pt idx="62">
                  <c:v>0.8800910141741769</c:v>
                </c:pt>
                <c:pt idx="63">
                  <c:v>0.87895379225178594</c:v>
                </c:pt>
                <c:pt idx="64">
                  <c:v>0.8778315619473942</c:v>
                </c:pt>
                <c:pt idx="65">
                  <c:v>0.87672401680348266</c:v>
                </c:pt>
                <c:pt idx="66">
                  <c:v>0.87563085817620523</c:v>
                </c:pt>
                <c:pt idx="67">
                  <c:v>0.87455179503889768</c:v>
                </c:pt>
                <c:pt idx="68">
                  <c:v>0.87348654378654089</c:v>
                </c:pt>
                <c:pt idx="69">
                  <c:v>0.87243482804183814</c:v>
                </c:pt>
                <c:pt idx="70">
                  <c:v>0.8713963784634553</c:v>
                </c:pt>
                <c:pt idx="71">
                  <c:v>0.87037093255688247</c:v>
                </c:pt>
                <c:pt idx="72">
                  <c:v>0.86935823448828942</c:v>
                </c:pt>
                <c:pt idx="73">
                  <c:v>0.86835803490168006</c:v>
                </c:pt>
                <c:pt idx="74">
                  <c:v>0.86737009073959015</c:v>
                </c:pt>
                <c:pt idx="75">
                  <c:v>0.86639416506751854</c:v>
                </c:pt>
                <c:pt idx="76">
                  <c:v>0.86543002690223847</c:v>
                </c:pt>
                <c:pt idx="77">
                  <c:v>0.86447745104409546</c:v>
                </c:pt>
                <c:pt idx="78">
                  <c:v>0.86353621791336699</c:v>
                </c:pt>
                <c:pt idx="79">
                  <c:v>0.86260611339072812</c:v>
                </c:pt>
                <c:pt idx="80">
                  <c:v>0.86168692866184471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90656"/>
        <c:axId val="381289088"/>
      </c:scatterChart>
      <c:valAx>
        <c:axId val="381290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10" b="0" i="0" u="none" strike="noStrike" baseline="0">
                <a:solidFill>
                  <a:srgbClr val="000000"/>
                </a:solidFill>
                <a:latin typeface="DejaVu Sans"/>
                <a:ea typeface="DejaVu Sans"/>
                <a:cs typeface="DejaVu Sans"/>
              </a:defRPr>
            </a:pPr>
            <a:endParaRPr lang="en-US"/>
          </a:p>
        </c:txPr>
        <c:crossAx val="381289088"/>
        <c:crosses val="autoZero"/>
        <c:crossBetween val="midCat"/>
      </c:valAx>
      <c:valAx>
        <c:axId val="381289088"/>
        <c:scaling>
          <c:orientation val="minMax"/>
          <c:max val="1"/>
          <c:min val="0.6000000000000000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10" b="0" i="0" u="none" strike="noStrike" baseline="0">
                <a:solidFill>
                  <a:srgbClr val="000000"/>
                </a:solidFill>
                <a:latin typeface="DejaVu Sans"/>
                <a:ea typeface="DejaVu Sans"/>
                <a:cs typeface="DejaVu Sans"/>
              </a:defRPr>
            </a:pPr>
            <a:endParaRPr lang="en-US"/>
          </a:p>
        </c:txPr>
        <c:crossAx val="381290656"/>
        <c:crosses val="autoZero"/>
        <c:crossBetween val="midCat"/>
      </c:valAx>
      <c:spPr>
        <a:solidFill>
          <a:srgbClr val="D9D9D9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822879898633356"/>
          <c:y val="0.50693110885891735"/>
          <c:w val="0.10225921521997616"/>
          <c:h val="9.3069306930693041E-2"/>
        </c:manualLayout>
      </c:layout>
      <c:overlay val="0"/>
      <c:spPr>
        <a:solidFill>
          <a:srgbClr val="D9D9D9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ejaVu Sans"/>
          <a:ea typeface="DejaVu Sans"/>
          <a:cs typeface="DejaVu Sans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30627306273062"/>
          <c:y val="7.9235184093195257E-2"/>
          <c:w val="0.66789667896678961"/>
          <c:h val="0.7459036295669760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'Modelo Directo'!$D$3</c:f>
              <c:strCache>
                <c:ptCount val="1"/>
                <c:pt idx="0">
                  <c:v>smin (cm)</c:v>
                </c:pt>
              </c:strCache>
            </c:strRef>
          </c:tx>
          <c:spPr>
            <a:ln w="3175">
              <a:solidFill>
                <a:srgbClr val="004586"/>
              </a:solidFill>
              <a:prstDash val="solid"/>
            </a:ln>
          </c:spPr>
          <c:marker>
            <c:symbol val="none"/>
          </c:marker>
          <c:xVal>
            <c:numRef>
              <c:f>'Modelo Directo'!$I$4:$I$84</c:f>
              <c:numCache>
                <c:formatCode>General</c:formatCode>
                <c:ptCount val="81"/>
                <c:pt idx="0">
                  <c:v>0.98011424528755464</c:v>
                </c:pt>
                <c:pt idx="1">
                  <c:v>0.97499145621665195</c:v>
                </c:pt>
                <c:pt idx="2">
                  <c:v>0.96953955357582633</c:v>
                </c:pt>
                <c:pt idx="3">
                  <c:v>0.96382908027940029</c:v>
                </c:pt>
                <c:pt idx="4">
                  <c:v>0.95792028545139707</c:v>
                </c:pt>
                <c:pt idx="5">
                  <c:v>0.95186405457678602</c:v>
                </c:pt>
                <c:pt idx="6">
                  <c:v>0.94570304393345084</c:v>
                </c:pt>
                <c:pt idx="7">
                  <c:v>0.9394728221879014</c:v>
                </c:pt>
                <c:pt idx="8">
                  <c:v>0.93320292803813909</c:v>
                </c:pt>
                <c:pt idx="9">
                  <c:v>0.92691780853533501</c:v>
                </c:pt>
                <c:pt idx="10">
                  <c:v>0.92063763106490926</c:v>
                </c:pt>
                <c:pt idx="11">
                  <c:v>0.91437897554367487</c:v>
                </c:pt>
                <c:pt idx="12">
                  <c:v>0.90815541912406361</c:v>
                </c:pt>
                <c:pt idx="13">
                  <c:v>0.90197802737569877</c:v>
                </c:pt>
                <c:pt idx="14">
                  <c:v>0.89585576559383817</c:v>
                </c:pt>
                <c:pt idx="15">
                  <c:v>0.88979584266597056</c:v>
                </c:pt>
                <c:pt idx="16">
                  <c:v>0.88380399839123269</c:v>
                </c:pt>
                <c:pt idx="17">
                  <c:v>0.87788474358514546</c:v>
                </c:pt>
                <c:pt idx="18">
                  <c:v>0.87204156085196916</c:v>
                </c:pt>
                <c:pt idx="19">
                  <c:v>0.86627707262360876</c:v>
                </c:pt>
                <c:pt idx="20">
                  <c:v>0.86059318195956624</c:v>
                </c:pt>
                <c:pt idx="21">
                  <c:v>0.85499119066825557</c:v>
                </c:pt>
                <c:pt idx="22">
                  <c:v>0.8494718985284011</c:v>
                </c:pt>
                <c:pt idx="23">
                  <c:v>0.84403568673981821</c:v>
                </c:pt>
                <c:pt idx="24">
                  <c:v>0.83868258819556829</c:v>
                </c:pt>
                <c:pt idx="25">
                  <c:v>0.83341234672400977</c:v>
                </c:pt>
                <c:pt idx="26">
                  <c:v>0.82822446708368391</c:v>
                </c:pt>
                <c:pt idx="27">
                  <c:v>0.82311825719267007</c:v>
                </c:pt>
                <c:pt idx="28">
                  <c:v>0.81809286382561797</c:v>
                </c:pt>
                <c:pt idx="29">
                  <c:v>0.81314730280666681</c:v>
                </c:pt>
                <c:pt idx="30">
                  <c:v>0.80828048455707902</c:v>
                </c:pt>
                <c:pt idx="31">
                  <c:v>0.80349123571627323</c:v>
                </c:pt>
                <c:pt idx="32">
                  <c:v>0.79877831743878325</c:v>
                </c:pt>
                <c:pt idx="33">
                  <c:v>0.79414044087323477</c:v>
                </c:pt>
                <c:pt idx="34">
                  <c:v>0.78957628024921078</c:v>
                </c:pt>
                <c:pt idx="35">
                  <c:v>0.78508448393102936</c:v>
                </c:pt>
                <c:pt idx="36">
                  <c:v>0.78066368374163098</c:v>
                </c:pt>
                <c:pt idx="37">
                  <c:v>0.77631250281307329</c:v>
                </c:pt>
                <c:pt idx="38">
                  <c:v>0.77202956218098828</c:v>
                </c:pt>
                <c:pt idx="39">
                  <c:v>0.76781348630747204</c:v>
                </c:pt>
                <c:pt idx="40">
                  <c:v>0.76366290768922473</c:v>
                </c:pt>
                <c:pt idx="41">
                  <c:v>0.75957647068442791</c:v>
                </c:pt>
                <c:pt idx="42">
                  <c:v>0.75555283467216172</c:v>
                </c:pt>
                <c:pt idx="43">
                  <c:v>0.75159067664149892</c:v>
                </c:pt>
                <c:pt idx="44">
                  <c:v>0.74768869329329557</c:v>
                </c:pt>
                <c:pt idx="45">
                  <c:v>0.74384560272571454</c:v>
                </c:pt>
                <c:pt idx="46">
                  <c:v>0.74006014576432622</c:v>
                </c:pt>
                <c:pt idx="47">
                  <c:v>0.73633108698895278</c:v>
                </c:pt>
                <c:pt idx="48">
                  <c:v>0.73265721550202945</c:v>
                </c:pt>
                <c:pt idx="49">
                  <c:v>0.72903734547692789</c:v>
                </c:pt>
                <c:pt idx="50">
                  <c:v>0.72547031651928751</c:v>
                </c:pt>
                <c:pt idx="51">
                  <c:v>0.72195499386977091</c:v>
                </c:pt>
                <c:pt idx="52">
                  <c:v>0.71849026847269171</c:v>
                </c:pt>
                <c:pt idx="53">
                  <c:v>0.71507505693155804</c:v>
                </c:pt>
                <c:pt idx="54">
                  <c:v>0.71170830136964214</c:v>
                </c:pt>
                <c:pt idx="55">
                  <c:v>0.70838896921117778</c:v>
                </c:pt>
                <c:pt idx="56">
                  <c:v>0.70511605289660806</c:v>
                </c:pt>
                <c:pt idx="57">
                  <c:v>0.70188856954344381</c:v>
                </c:pt>
                <c:pt idx="58">
                  <c:v>0.69870556056267752</c:v>
                </c:pt>
                <c:pt idx="59">
                  <c:v>0.69556609123930535</c:v>
                </c:pt>
                <c:pt idx="60">
                  <c:v>0.69246925028430883</c:v>
                </c:pt>
                <c:pt idx="61">
                  <c:v>0.68941414936440371</c:v>
                </c:pt>
                <c:pt idx="62">
                  <c:v>0.68639992261496907</c:v>
                </c:pt>
                <c:pt idx="63">
                  <c:v>0.68342572614078811</c:v>
                </c:pt>
                <c:pt idx="64">
                  <c:v>0.68049073750855771</c:v>
                </c:pt>
                <c:pt idx="65">
                  <c:v>0.67759415523454369</c:v>
                </c:pt>
                <c:pt idx="66">
                  <c:v>0.67473519827024842</c:v>
                </c:pt>
                <c:pt idx="67">
                  <c:v>0.6719131054885239</c:v>
                </c:pt>
                <c:pt idx="68">
                  <c:v>0.66912713517218048</c:v>
                </c:pt>
                <c:pt idx="69">
                  <c:v>0.66637656450681804</c:v>
                </c:pt>
                <c:pt idx="70">
                  <c:v>0.66366068907931375</c:v>
                </c:pt>
                <c:pt idx="71">
                  <c:v>0.66097882238316397</c:v>
                </c:pt>
                <c:pt idx="72">
                  <c:v>0.65833029533165699</c:v>
                </c:pt>
                <c:pt idx="73">
                  <c:v>0.65571445577967546</c:v>
                </c:pt>
                <c:pt idx="74">
                  <c:v>0.65313066805476283</c:v>
                </c:pt>
                <c:pt idx="75">
                  <c:v>0.65057831249795539</c:v>
                </c:pt>
                <c:pt idx="76">
                  <c:v>0.6480567850147616</c:v>
                </c:pt>
                <c:pt idx="77">
                  <c:v>0.6455654966365687</c:v>
                </c:pt>
                <c:pt idx="78">
                  <c:v>0.64310387309267059</c:v>
                </c:pt>
                <c:pt idx="79">
                  <c:v>0.64067135439303458</c:v>
                </c:pt>
                <c:pt idx="80">
                  <c:v>0.63826739442186364</c:v>
                </c:pt>
              </c:numCache>
            </c:numRef>
          </c:xVal>
          <c:y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'Modelo Directo'!$E$3</c:f>
              <c:strCache>
                <c:ptCount val="1"/>
                <c:pt idx="0">
                  <c:v>smax (cm)</c:v>
                </c:pt>
              </c:strCache>
            </c:strRef>
          </c:tx>
          <c:spPr>
            <a:ln w="3175">
              <a:solidFill>
                <a:srgbClr val="FF420E"/>
              </a:solidFill>
              <a:prstDash val="solid"/>
            </a:ln>
          </c:spPr>
          <c:marker>
            <c:symbol val="none"/>
          </c:marker>
          <c:xVal>
            <c:numRef>
              <c:f>'Modelo Directo'!$J$4:$J$84</c:f>
              <c:numCache>
                <c:formatCode>General</c:formatCode>
                <c:ptCount val="81"/>
                <c:pt idx="0">
                  <c:v>0.99239642827950325</c:v>
                </c:pt>
                <c:pt idx="1">
                  <c:v>0.99043766459802185</c:v>
                </c:pt>
                <c:pt idx="2">
                  <c:v>0.98835306014915281</c:v>
                </c:pt>
                <c:pt idx="3">
                  <c:v>0.98616958791512277</c:v>
                </c:pt>
                <c:pt idx="4">
                  <c:v>0.98391028491626276</c:v>
                </c:pt>
                <c:pt idx="5">
                  <c:v>0.98159460786618968</c:v>
                </c:pt>
                <c:pt idx="6">
                  <c:v>0.97923886693632567</c:v>
                </c:pt>
                <c:pt idx="7">
                  <c:v>0.97685666225956602</c:v>
                </c:pt>
                <c:pt idx="8">
                  <c:v>0.97445928833350604</c:v>
                </c:pt>
                <c:pt idx="9">
                  <c:v>0.9720560927996923</c:v>
                </c:pt>
                <c:pt idx="10">
                  <c:v>0.96965478691493534</c:v>
                </c:pt>
                <c:pt idx="11">
                  <c:v>0.96726171022170804</c:v>
                </c:pt>
                <c:pt idx="12">
                  <c:v>0.96488205411725769</c:v>
                </c:pt>
                <c:pt idx="13">
                  <c:v>0.96252004966313953</c:v>
                </c:pt>
                <c:pt idx="14">
                  <c:v>0.96017912485424106</c:v>
                </c:pt>
                <c:pt idx="15">
                  <c:v>0.9578620361005572</c:v>
                </c:pt>
                <c:pt idx="16">
                  <c:v>0.95557097808743063</c:v>
                </c:pt>
                <c:pt idx="17">
                  <c:v>0.95330767558265761</c:v>
                </c:pt>
                <c:pt idx="18">
                  <c:v>0.95107346020435624</c:v>
                </c:pt>
                <c:pt idx="19">
                  <c:v>0.94886933467278334</c:v>
                </c:pt>
                <c:pt idx="20">
                  <c:v>0.94669602664699026</c:v>
                </c:pt>
                <c:pt idx="21">
                  <c:v>0.94455403389001336</c:v>
                </c:pt>
                <c:pt idx="22">
                  <c:v>0.94244366220743925</c:v>
                </c:pt>
                <c:pt idx="23">
                  <c:v>0.94036505735587539</c:v>
                </c:pt>
                <c:pt idx="24">
                  <c:v>0.9383182319124026</c:v>
                </c:pt>
                <c:pt idx="25">
                  <c:v>0.93630308792652961</c:v>
                </c:pt>
                <c:pt idx="26">
                  <c:v>0.93431943603637346</c:v>
                </c:pt>
                <c:pt idx="27">
                  <c:v>0.93236701161559277</c:v>
                </c:pt>
                <c:pt idx="28">
                  <c:v>0.930445488422602</c:v>
                </c:pt>
                <c:pt idx="29">
                  <c:v>0.9285544901452194</c:v>
                </c:pt>
                <c:pt idx="30">
                  <c:v>0.92669360016912994</c:v>
                </c:pt>
                <c:pt idx="31">
                  <c:v>0.92486236984496317</c:v>
                </c:pt>
                <c:pt idx="32">
                  <c:v>0.92306032548436823</c:v>
                </c:pt>
                <c:pt idx="33">
                  <c:v>0.9212869742785984</c:v>
                </c:pt>
                <c:pt idx="34">
                  <c:v>0.91954180930244012</c:v>
                </c:pt>
                <c:pt idx="35">
                  <c:v>0.91782431374076656</c:v>
                </c:pt>
                <c:pt idx="36">
                  <c:v>0.91613396445364392</c:v>
                </c:pt>
                <c:pt idx="37">
                  <c:v>0.91447023497806912</c:v>
                </c:pt>
                <c:pt idx="38">
                  <c:v>0.91283259804944372</c:v>
                </c:pt>
                <c:pt idx="39">
                  <c:v>0.9112205277133214</c:v>
                </c:pt>
                <c:pt idx="40">
                  <c:v>0.9096335010873895</c:v>
                </c:pt>
                <c:pt idx="41">
                  <c:v>0.90807099982472339</c:v>
                </c:pt>
                <c:pt idx="42">
                  <c:v>0.90653251132183077</c:v>
                </c:pt>
                <c:pt idx="43">
                  <c:v>0.90501752970862437</c:v>
                </c:pt>
                <c:pt idx="44">
                  <c:v>0.90352555665206846</c:v>
                </c:pt>
                <c:pt idx="45">
                  <c:v>0.90205610200066022</c:v>
                </c:pt>
                <c:pt idx="46">
                  <c:v>0.90060868429301055</c:v>
                </c:pt>
                <c:pt idx="47">
                  <c:v>0.8991828311504716</c:v>
                </c:pt>
                <c:pt idx="48">
                  <c:v>0.8977780795709287</c:v>
                </c:pt>
                <c:pt idx="49">
                  <c:v>0.8963939761384595</c:v>
                </c:pt>
                <c:pt idx="50">
                  <c:v>0.89503007716149319</c:v>
                </c:pt>
                <c:pt idx="51">
                  <c:v>0.8936859487503368</c:v>
                </c:pt>
                <c:pt idx="52">
                  <c:v>0.89236116684341571</c:v>
                </c:pt>
                <c:pt idx="53">
                  <c:v>0.89105531719027553</c:v>
                </c:pt>
                <c:pt idx="54">
                  <c:v>0.88976799529826867</c:v>
                </c:pt>
                <c:pt idx="55">
                  <c:v>0.88849880634889278</c:v>
                </c:pt>
                <c:pt idx="56">
                  <c:v>0.88724736508891189</c:v>
                </c:pt>
                <c:pt idx="57">
                  <c:v>0.8860132957006811</c:v>
                </c:pt>
                <c:pt idx="58">
                  <c:v>0.88479623165547816</c:v>
                </c:pt>
                <c:pt idx="59">
                  <c:v>0.88359581555311029</c:v>
                </c:pt>
                <c:pt idx="60">
                  <c:v>0.88241169895060834</c:v>
                </c:pt>
                <c:pt idx="61">
                  <c:v>0.88124354218242107</c:v>
                </c:pt>
                <c:pt idx="62">
                  <c:v>0.8800910141741769</c:v>
                </c:pt>
                <c:pt idx="63">
                  <c:v>0.87895379225178594</c:v>
                </c:pt>
                <c:pt idx="64">
                  <c:v>0.8778315619473942</c:v>
                </c:pt>
                <c:pt idx="65">
                  <c:v>0.87672401680348266</c:v>
                </c:pt>
                <c:pt idx="66">
                  <c:v>0.87563085817620523</c:v>
                </c:pt>
                <c:pt idx="67">
                  <c:v>0.87455179503889768</c:v>
                </c:pt>
                <c:pt idx="68">
                  <c:v>0.87348654378654089</c:v>
                </c:pt>
                <c:pt idx="69">
                  <c:v>0.87243482804183814</c:v>
                </c:pt>
                <c:pt idx="70">
                  <c:v>0.8713963784634553</c:v>
                </c:pt>
                <c:pt idx="71">
                  <c:v>0.87037093255688247</c:v>
                </c:pt>
                <c:pt idx="72">
                  <c:v>0.86935823448828942</c:v>
                </c:pt>
                <c:pt idx="73">
                  <c:v>0.86835803490168006</c:v>
                </c:pt>
                <c:pt idx="74">
                  <c:v>0.86737009073959015</c:v>
                </c:pt>
                <c:pt idx="75">
                  <c:v>0.86639416506751854</c:v>
                </c:pt>
                <c:pt idx="76">
                  <c:v>0.86543002690223847</c:v>
                </c:pt>
                <c:pt idx="77">
                  <c:v>0.86447745104409546</c:v>
                </c:pt>
                <c:pt idx="78">
                  <c:v>0.86353621791336699</c:v>
                </c:pt>
                <c:pt idx="79">
                  <c:v>0.86260611339072812</c:v>
                </c:pt>
                <c:pt idx="80">
                  <c:v>0.86168692866184471</c:v>
                </c:pt>
              </c:numCache>
            </c:numRef>
          </c:xVal>
          <c:y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'Modelo Directo'!$F$3</c:f>
              <c:strCache>
                <c:ptCount val="1"/>
                <c:pt idx="0">
                  <c:v>s1 (cm)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'Modelo Directo'!$K$4:$K$84</c:f>
              <c:numCache>
                <c:formatCode>General</c:formatCode>
                <c:ptCount val="81"/>
                <c:pt idx="0">
                  <c:v>0.98317779927435456</c:v>
                </c:pt>
                <c:pt idx="1">
                  <c:v>0.97884421539624644</c:v>
                </c:pt>
                <c:pt idx="2">
                  <c:v>0.97423222043367919</c:v>
                </c:pt>
                <c:pt idx="3">
                  <c:v>0.96940148962059136</c:v>
                </c:pt>
                <c:pt idx="4">
                  <c:v>0.96440299023846243</c:v>
                </c:pt>
                <c:pt idx="5">
                  <c:v>0.95927976847058061</c:v>
                </c:pt>
                <c:pt idx="6">
                  <c:v>0.95406790906601102</c:v>
                </c:pt>
                <c:pt idx="7">
                  <c:v>0.94879750106367744</c:v>
                </c:pt>
                <c:pt idx="8">
                  <c:v>0.94349353249718193</c:v>
                </c:pt>
                <c:pt idx="9">
                  <c:v>0.93817668416078615</c:v>
                </c:pt>
                <c:pt idx="10">
                  <c:v>0.93286401649853945</c:v>
                </c:pt>
                <c:pt idx="11">
                  <c:v>0.92756955516311024</c:v>
                </c:pt>
                <c:pt idx="12">
                  <c:v>0.92230478564181273</c:v>
                </c:pt>
                <c:pt idx="13">
                  <c:v>0.9170790687678686</c:v>
                </c:pt>
                <c:pt idx="14">
                  <c:v>0.91189998866360933</c:v>
                </c:pt>
                <c:pt idx="15">
                  <c:v>0.90677364363176949</c:v>
                </c:pt>
                <c:pt idx="16">
                  <c:v>0.90170488921113057</c:v>
                </c:pt>
                <c:pt idx="17">
                  <c:v>0.896697541291269</c:v>
                </c:pt>
                <c:pt idx="18">
                  <c:v>0.89175454595438086</c:v>
                </c:pt>
                <c:pt idx="19">
                  <c:v>0.88687812162649704</c:v>
                </c:pt>
                <c:pt idx="20">
                  <c:v>0.88206987818611582</c:v>
                </c:pt>
                <c:pt idx="21">
                  <c:v>0.87733091688801801</c:v>
                </c:pt>
                <c:pt idx="22">
                  <c:v>0.87266191429884288</c:v>
                </c:pt>
                <c:pt idx="23">
                  <c:v>0.86806319289163236</c:v>
                </c:pt>
                <c:pt idx="24">
                  <c:v>0.86353478049201771</c:v>
                </c:pt>
                <c:pt idx="25">
                  <c:v>0.85907646039357588</c:v>
                </c:pt>
                <c:pt idx="26">
                  <c:v>0.85468781365061708</c:v>
                </c:pt>
                <c:pt idx="27">
                  <c:v>0.8503682548017818</c:v>
                </c:pt>
                <c:pt idx="28">
                  <c:v>0.84611706206767001</c:v>
                </c:pt>
                <c:pt idx="29">
                  <c:v>0.84193340289230789</c:v>
                </c:pt>
                <c:pt idx="30">
                  <c:v>0.83781635555497136</c:v>
                </c:pt>
                <c:pt idx="31">
                  <c:v>0.83376492746033248</c:v>
                </c:pt>
                <c:pt idx="32">
                  <c:v>0.82977807061663011</c:v>
                </c:pt>
                <c:pt idx="33">
                  <c:v>0.82585469472999118</c:v>
                </c:pt>
                <c:pt idx="34">
                  <c:v>0.82199367827516345</c:v>
                </c:pt>
                <c:pt idx="35">
                  <c:v>0.81819387784637354</c:v>
                </c:pt>
                <c:pt idx="36">
                  <c:v>0.81445413604479688</c:v>
                </c:pt>
                <c:pt idx="37">
                  <c:v>0.81077328811962424</c:v>
                </c:pt>
                <c:pt idx="38">
                  <c:v>0.80715016754659086</c:v>
                </c:pt>
                <c:pt idx="39">
                  <c:v>0.80358361070002293</c:v>
                </c:pt>
                <c:pt idx="40">
                  <c:v>0.8000724607510582</c:v>
                </c:pt>
                <c:pt idx="41">
                  <c:v>0.79661557090496282</c:v>
                </c:pt>
                <c:pt idx="42">
                  <c:v>0.79321180707381611</c:v>
                </c:pt>
                <c:pt idx="43">
                  <c:v>0.78986005006673476</c:v>
                </c:pt>
                <c:pt idx="44">
                  <c:v>0.78655919736786672</c:v>
                </c:pt>
                <c:pt idx="45">
                  <c:v>0.78330816456224639</c:v>
                </c:pt>
                <c:pt idx="46">
                  <c:v>0.78010588646098256</c:v>
                </c:pt>
                <c:pt idx="47">
                  <c:v>0.77695131796991079</c:v>
                </c:pt>
                <c:pt idx="48">
                  <c:v>0.7738434347395815</c:v>
                </c:pt>
                <c:pt idx="49">
                  <c:v>0.77078123362911044</c:v>
                </c:pt>
                <c:pt idx="50">
                  <c:v>0.76776373301184386</c:v>
                </c:pt>
                <c:pt idx="51">
                  <c:v>0.76478997294687801</c:v>
                </c:pt>
                <c:pt idx="52">
                  <c:v>0.76185901523711452</c:v>
                </c:pt>
                <c:pt idx="53">
                  <c:v>0.75896994339165236</c:v>
                </c:pt>
                <c:pt idx="54">
                  <c:v>0.75612186250783819</c:v>
                </c:pt>
                <c:pt idx="55">
                  <c:v>0.75331389908617186</c:v>
                </c:pt>
                <c:pt idx="56">
                  <c:v>0.75054520078942211</c:v>
                </c:pt>
                <c:pt idx="57">
                  <c:v>0.74781493615573291</c:v>
                </c:pt>
                <c:pt idx="58">
                  <c:v>0.74512229427413146</c:v>
                </c:pt>
                <c:pt idx="59">
                  <c:v>0.74246648442967444</c:v>
                </c:pt>
                <c:pt idx="60">
                  <c:v>0.73984673572444937</c:v>
                </c:pt>
                <c:pt idx="61">
                  <c:v>0.73726229667977061</c:v>
                </c:pt>
                <c:pt idx="62">
                  <c:v>0.73471243482414472</c:v>
                </c:pt>
                <c:pt idx="63">
                  <c:v>0.73219643627092568</c:v>
                </c:pt>
                <c:pt idx="64">
                  <c:v>0.72971360528900842</c:v>
                </c:pt>
                <c:pt idx="65">
                  <c:v>0.72726326386941342</c:v>
                </c:pt>
                <c:pt idx="66">
                  <c:v>0.72484475129019221</c:v>
                </c:pt>
                <c:pt idx="67">
                  <c:v>0.72245742368170807</c:v>
                </c:pt>
                <c:pt idx="68">
                  <c:v>0.72010065359402875</c:v>
                </c:pt>
                <c:pt idx="69">
                  <c:v>0.71777382956789104</c:v>
                </c:pt>
                <c:pt idx="70">
                  <c:v>0.71547635571045021</c:v>
                </c:pt>
                <c:pt idx="71">
                  <c:v>0.71320765127682761</c:v>
                </c:pt>
                <c:pt idx="72">
                  <c:v>0.7109671502582835</c:v>
                </c:pt>
                <c:pt idx="73">
                  <c:v>0.70875430097768888</c:v>
                </c:pt>
                <c:pt idx="74">
                  <c:v>0.7065685656928351</c:v>
                </c:pt>
                <c:pt idx="75">
                  <c:v>0.70440942020800423</c:v>
                </c:pt>
                <c:pt idx="76">
                  <c:v>0.70227635349412332</c:v>
                </c:pt>
                <c:pt idx="77">
                  <c:v>0.70016886731774008</c:v>
                </c:pt>
                <c:pt idx="78">
                  <c:v>0.69808647587898243</c:v>
                </c:pt>
                <c:pt idx="79">
                  <c:v>0.69602870545860451</c:v>
                </c:pt>
                <c:pt idx="80">
                  <c:v>0.69399509407416216</c:v>
                </c:pt>
              </c:numCache>
            </c:numRef>
          </c:xVal>
          <c:y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94968"/>
        <c:axId val="381295360"/>
      </c:scatterChart>
      <c:valAx>
        <c:axId val="381294968"/>
        <c:scaling>
          <c:orientation val="minMax"/>
          <c:max val="1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  <a:r>
                  <a:rPr lang="es-ES"/>
                  <a:t>p</a:t>
                </a:r>
              </a:p>
            </c:rich>
          </c:tx>
          <c:layout>
            <c:manualLayout>
              <c:xMode val="edge"/>
              <c:yMode val="edge"/>
              <c:x val="0.44649446494464945"/>
              <c:y val="0.898909398620254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295360"/>
        <c:crosses val="autoZero"/>
        <c:crossBetween val="midCat"/>
      </c:valAx>
      <c:valAx>
        <c:axId val="381295360"/>
        <c:scaling>
          <c:orientation val="minMax"/>
          <c:max val="0.5"/>
          <c:min val="0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  <a:r>
                  <a:rPr lang="es-ES"/>
                  <a:t>Mv (m3/m3)</a:t>
                </a:r>
              </a:p>
            </c:rich>
          </c:tx>
          <c:layout>
            <c:manualLayout>
              <c:xMode val="edge"/>
              <c:yMode val="edge"/>
              <c:x val="2.7675276752767528E-2"/>
              <c:y val="0.322405232132868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294968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287822878228778"/>
          <c:y val="0.39890825122269552"/>
          <c:w val="0.16420664206642066"/>
          <c:h val="0.1584702322045809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ejaVu Sans"/>
          <a:ea typeface="DejaVu Sans"/>
          <a:cs typeface="DejaVu Sans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8383491411538"/>
          <c:y val="7.880434782608696E-2"/>
          <c:w val="0.66911824764318817"/>
          <c:h val="0.747282608695652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'Modelo Directo'!$D$3</c:f>
              <c:strCache>
                <c:ptCount val="1"/>
                <c:pt idx="0">
                  <c:v>smin (cm)</c:v>
                </c:pt>
              </c:strCache>
            </c:strRef>
          </c:tx>
          <c:spPr>
            <a:ln w="3175">
              <a:solidFill>
                <a:srgbClr val="004586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Directo'!$I$4:$I$84</c:f>
              <c:numCache>
                <c:formatCode>General</c:formatCode>
                <c:ptCount val="81"/>
                <c:pt idx="0">
                  <c:v>0.98011424528755464</c:v>
                </c:pt>
                <c:pt idx="1">
                  <c:v>0.97499145621665195</c:v>
                </c:pt>
                <c:pt idx="2">
                  <c:v>0.96953955357582633</c:v>
                </c:pt>
                <c:pt idx="3">
                  <c:v>0.96382908027940029</c:v>
                </c:pt>
                <c:pt idx="4">
                  <c:v>0.95792028545139707</c:v>
                </c:pt>
                <c:pt idx="5">
                  <c:v>0.95186405457678602</c:v>
                </c:pt>
                <c:pt idx="6">
                  <c:v>0.94570304393345084</c:v>
                </c:pt>
                <c:pt idx="7">
                  <c:v>0.9394728221879014</c:v>
                </c:pt>
                <c:pt idx="8">
                  <c:v>0.93320292803813909</c:v>
                </c:pt>
                <c:pt idx="9">
                  <c:v>0.92691780853533501</c:v>
                </c:pt>
                <c:pt idx="10">
                  <c:v>0.92063763106490926</c:v>
                </c:pt>
                <c:pt idx="11">
                  <c:v>0.91437897554367487</c:v>
                </c:pt>
                <c:pt idx="12">
                  <c:v>0.90815541912406361</c:v>
                </c:pt>
                <c:pt idx="13">
                  <c:v>0.90197802737569877</c:v>
                </c:pt>
                <c:pt idx="14">
                  <c:v>0.89585576559383817</c:v>
                </c:pt>
                <c:pt idx="15">
                  <c:v>0.88979584266597056</c:v>
                </c:pt>
                <c:pt idx="16">
                  <c:v>0.88380399839123269</c:v>
                </c:pt>
                <c:pt idx="17">
                  <c:v>0.87788474358514546</c:v>
                </c:pt>
                <c:pt idx="18">
                  <c:v>0.87204156085196916</c:v>
                </c:pt>
                <c:pt idx="19">
                  <c:v>0.86627707262360876</c:v>
                </c:pt>
                <c:pt idx="20">
                  <c:v>0.86059318195956624</c:v>
                </c:pt>
                <c:pt idx="21">
                  <c:v>0.85499119066825557</c:v>
                </c:pt>
                <c:pt idx="22">
                  <c:v>0.8494718985284011</c:v>
                </c:pt>
                <c:pt idx="23">
                  <c:v>0.84403568673981821</c:v>
                </c:pt>
                <c:pt idx="24">
                  <c:v>0.83868258819556829</c:v>
                </c:pt>
                <c:pt idx="25">
                  <c:v>0.83341234672400977</c:v>
                </c:pt>
                <c:pt idx="26">
                  <c:v>0.82822446708368391</c:v>
                </c:pt>
                <c:pt idx="27">
                  <c:v>0.82311825719267007</c:v>
                </c:pt>
                <c:pt idx="28">
                  <c:v>0.81809286382561797</c:v>
                </c:pt>
                <c:pt idx="29">
                  <c:v>0.81314730280666681</c:v>
                </c:pt>
                <c:pt idx="30">
                  <c:v>0.80828048455707902</c:v>
                </c:pt>
                <c:pt idx="31">
                  <c:v>0.80349123571627323</c:v>
                </c:pt>
                <c:pt idx="32">
                  <c:v>0.79877831743878325</c:v>
                </c:pt>
                <c:pt idx="33">
                  <c:v>0.79414044087323477</c:v>
                </c:pt>
                <c:pt idx="34">
                  <c:v>0.78957628024921078</c:v>
                </c:pt>
                <c:pt idx="35">
                  <c:v>0.78508448393102936</c:v>
                </c:pt>
                <c:pt idx="36">
                  <c:v>0.78066368374163098</c:v>
                </c:pt>
                <c:pt idx="37">
                  <c:v>0.77631250281307329</c:v>
                </c:pt>
                <c:pt idx="38">
                  <c:v>0.77202956218098828</c:v>
                </c:pt>
                <c:pt idx="39">
                  <c:v>0.76781348630747204</c:v>
                </c:pt>
                <c:pt idx="40">
                  <c:v>0.76366290768922473</c:v>
                </c:pt>
                <c:pt idx="41">
                  <c:v>0.75957647068442791</c:v>
                </c:pt>
                <c:pt idx="42">
                  <c:v>0.75555283467216172</c:v>
                </c:pt>
                <c:pt idx="43">
                  <c:v>0.75159067664149892</c:v>
                </c:pt>
                <c:pt idx="44">
                  <c:v>0.74768869329329557</c:v>
                </c:pt>
                <c:pt idx="45">
                  <c:v>0.74384560272571454</c:v>
                </c:pt>
                <c:pt idx="46">
                  <c:v>0.74006014576432622</c:v>
                </c:pt>
                <c:pt idx="47">
                  <c:v>0.73633108698895278</c:v>
                </c:pt>
                <c:pt idx="48">
                  <c:v>0.73265721550202945</c:v>
                </c:pt>
                <c:pt idx="49">
                  <c:v>0.72903734547692789</c:v>
                </c:pt>
                <c:pt idx="50">
                  <c:v>0.72547031651928751</c:v>
                </c:pt>
                <c:pt idx="51">
                  <c:v>0.72195499386977091</c:v>
                </c:pt>
                <c:pt idx="52">
                  <c:v>0.71849026847269171</c:v>
                </c:pt>
                <c:pt idx="53">
                  <c:v>0.71507505693155804</c:v>
                </c:pt>
                <c:pt idx="54">
                  <c:v>0.71170830136964214</c:v>
                </c:pt>
                <c:pt idx="55">
                  <c:v>0.70838896921117778</c:v>
                </c:pt>
                <c:pt idx="56">
                  <c:v>0.70511605289660806</c:v>
                </c:pt>
                <c:pt idx="57">
                  <c:v>0.70188856954344381</c:v>
                </c:pt>
                <c:pt idx="58">
                  <c:v>0.69870556056267752</c:v>
                </c:pt>
                <c:pt idx="59">
                  <c:v>0.69556609123930535</c:v>
                </c:pt>
                <c:pt idx="60">
                  <c:v>0.69246925028430883</c:v>
                </c:pt>
                <c:pt idx="61">
                  <c:v>0.68941414936440371</c:v>
                </c:pt>
                <c:pt idx="62">
                  <c:v>0.68639992261496907</c:v>
                </c:pt>
                <c:pt idx="63">
                  <c:v>0.68342572614078811</c:v>
                </c:pt>
                <c:pt idx="64">
                  <c:v>0.68049073750855771</c:v>
                </c:pt>
                <c:pt idx="65">
                  <c:v>0.67759415523454369</c:v>
                </c:pt>
                <c:pt idx="66">
                  <c:v>0.67473519827024842</c:v>
                </c:pt>
                <c:pt idx="67">
                  <c:v>0.6719131054885239</c:v>
                </c:pt>
                <c:pt idx="68">
                  <c:v>0.66912713517218048</c:v>
                </c:pt>
                <c:pt idx="69">
                  <c:v>0.66637656450681804</c:v>
                </c:pt>
                <c:pt idx="70">
                  <c:v>0.66366068907931375</c:v>
                </c:pt>
                <c:pt idx="71">
                  <c:v>0.66097882238316397</c:v>
                </c:pt>
                <c:pt idx="72">
                  <c:v>0.65833029533165699</c:v>
                </c:pt>
                <c:pt idx="73">
                  <c:v>0.65571445577967546</c:v>
                </c:pt>
                <c:pt idx="74">
                  <c:v>0.65313066805476283</c:v>
                </c:pt>
                <c:pt idx="75">
                  <c:v>0.65057831249795539</c:v>
                </c:pt>
                <c:pt idx="76">
                  <c:v>0.6480567850147616</c:v>
                </c:pt>
                <c:pt idx="77">
                  <c:v>0.6455654966365687</c:v>
                </c:pt>
                <c:pt idx="78">
                  <c:v>0.64310387309267059</c:v>
                </c:pt>
                <c:pt idx="79">
                  <c:v>0.64067135439303458</c:v>
                </c:pt>
                <c:pt idx="80">
                  <c:v>0.63826739442186364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'Modelo Directo'!$E$3</c:f>
              <c:strCache>
                <c:ptCount val="1"/>
                <c:pt idx="0">
                  <c:v>smax (cm)</c:v>
                </c:pt>
              </c:strCache>
            </c:strRef>
          </c:tx>
          <c:spPr>
            <a:ln w="3175">
              <a:solidFill>
                <a:srgbClr val="FF420E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Directo'!$J$4:$J$84</c:f>
              <c:numCache>
                <c:formatCode>General</c:formatCode>
                <c:ptCount val="81"/>
                <c:pt idx="0">
                  <c:v>0.99239642827950325</c:v>
                </c:pt>
                <c:pt idx="1">
                  <c:v>0.99043766459802185</c:v>
                </c:pt>
                <c:pt idx="2">
                  <c:v>0.98835306014915281</c:v>
                </c:pt>
                <c:pt idx="3">
                  <c:v>0.98616958791512277</c:v>
                </c:pt>
                <c:pt idx="4">
                  <c:v>0.98391028491626276</c:v>
                </c:pt>
                <c:pt idx="5">
                  <c:v>0.98159460786618968</c:v>
                </c:pt>
                <c:pt idx="6">
                  <c:v>0.97923886693632567</c:v>
                </c:pt>
                <c:pt idx="7">
                  <c:v>0.97685666225956602</c:v>
                </c:pt>
                <c:pt idx="8">
                  <c:v>0.97445928833350604</c:v>
                </c:pt>
                <c:pt idx="9">
                  <c:v>0.9720560927996923</c:v>
                </c:pt>
                <c:pt idx="10">
                  <c:v>0.96965478691493534</c:v>
                </c:pt>
                <c:pt idx="11">
                  <c:v>0.96726171022170804</c:v>
                </c:pt>
                <c:pt idx="12">
                  <c:v>0.96488205411725769</c:v>
                </c:pt>
                <c:pt idx="13">
                  <c:v>0.96252004966313953</c:v>
                </c:pt>
                <c:pt idx="14">
                  <c:v>0.96017912485424106</c:v>
                </c:pt>
                <c:pt idx="15">
                  <c:v>0.9578620361005572</c:v>
                </c:pt>
                <c:pt idx="16">
                  <c:v>0.95557097808743063</c:v>
                </c:pt>
                <c:pt idx="17">
                  <c:v>0.95330767558265761</c:v>
                </c:pt>
                <c:pt idx="18">
                  <c:v>0.95107346020435624</c:v>
                </c:pt>
                <c:pt idx="19">
                  <c:v>0.94886933467278334</c:v>
                </c:pt>
                <c:pt idx="20">
                  <c:v>0.94669602664699026</c:v>
                </c:pt>
                <c:pt idx="21">
                  <c:v>0.94455403389001336</c:v>
                </c:pt>
                <c:pt idx="22">
                  <c:v>0.94244366220743925</c:v>
                </c:pt>
                <c:pt idx="23">
                  <c:v>0.94036505735587539</c:v>
                </c:pt>
                <c:pt idx="24">
                  <c:v>0.9383182319124026</c:v>
                </c:pt>
                <c:pt idx="25">
                  <c:v>0.93630308792652961</c:v>
                </c:pt>
                <c:pt idx="26">
                  <c:v>0.93431943603637346</c:v>
                </c:pt>
                <c:pt idx="27">
                  <c:v>0.93236701161559277</c:v>
                </c:pt>
                <c:pt idx="28">
                  <c:v>0.930445488422602</c:v>
                </c:pt>
                <c:pt idx="29">
                  <c:v>0.9285544901452194</c:v>
                </c:pt>
                <c:pt idx="30">
                  <c:v>0.92669360016912994</c:v>
                </c:pt>
                <c:pt idx="31">
                  <c:v>0.92486236984496317</c:v>
                </c:pt>
                <c:pt idx="32">
                  <c:v>0.92306032548436823</c:v>
                </c:pt>
                <c:pt idx="33">
                  <c:v>0.9212869742785984</c:v>
                </c:pt>
                <c:pt idx="34">
                  <c:v>0.91954180930244012</c:v>
                </c:pt>
                <c:pt idx="35">
                  <c:v>0.91782431374076656</c:v>
                </c:pt>
                <c:pt idx="36">
                  <c:v>0.91613396445364392</c:v>
                </c:pt>
                <c:pt idx="37">
                  <c:v>0.91447023497806912</c:v>
                </c:pt>
                <c:pt idx="38">
                  <c:v>0.91283259804944372</c:v>
                </c:pt>
                <c:pt idx="39">
                  <c:v>0.9112205277133214</c:v>
                </c:pt>
                <c:pt idx="40">
                  <c:v>0.9096335010873895</c:v>
                </c:pt>
                <c:pt idx="41">
                  <c:v>0.90807099982472339</c:v>
                </c:pt>
                <c:pt idx="42">
                  <c:v>0.90653251132183077</c:v>
                </c:pt>
                <c:pt idx="43">
                  <c:v>0.90501752970862437</c:v>
                </c:pt>
                <c:pt idx="44">
                  <c:v>0.90352555665206846</c:v>
                </c:pt>
                <c:pt idx="45">
                  <c:v>0.90205610200066022</c:v>
                </c:pt>
                <c:pt idx="46">
                  <c:v>0.90060868429301055</c:v>
                </c:pt>
                <c:pt idx="47">
                  <c:v>0.8991828311504716</c:v>
                </c:pt>
                <c:pt idx="48">
                  <c:v>0.8977780795709287</c:v>
                </c:pt>
                <c:pt idx="49">
                  <c:v>0.8963939761384595</c:v>
                </c:pt>
                <c:pt idx="50">
                  <c:v>0.89503007716149319</c:v>
                </c:pt>
                <c:pt idx="51">
                  <c:v>0.8936859487503368</c:v>
                </c:pt>
                <c:pt idx="52">
                  <c:v>0.89236116684341571</c:v>
                </c:pt>
                <c:pt idx="53">
                  <c:v>0.89105531719027553</c:v>
                </c:pt>
                <c:pt idx="54">
                  <c:v>0.88976799529826867</c:v>
                </c:pt>
                <c:pt idx="55">
                  <c:v>0.88849880634889278</c:v>
                </c:pt>
                <c:pt idx="56">
                  <c:v>0.88724736508891189</c:v>
                </c:pt>
                <c:pt idx="57">
                  <c:v>0.8860132957006811</c:v>
                </c:pt>
                <c:pt idx="58">
                  <c:v>0.88479623165547816</c:v>
                </c:pt>
                <c:pt idx="59">
                  <c:v>0.88359581555311029</c:v>
                </c:pt>
                <c:pt idx="60">
                  <c:v>0.88241169895060834</c:v>
                </c:pt>
                <c:pt idx="61">
                  <c:v>0.88124354218242107</c:v>
                </c:pt>
                <c:pt idx="62">
                  <c:v>0.8800910141741769</c:v>
                </c:pt>
                <c:pt idx="63">
                  <c:v>0.87895379225178594</c:v>
                </c:pt>
                <c:pt idx="64">
                  <c:v>0.8778315619473942</c:v>
                </c:pt>
                <c:pt idx="65">
                  <c:v>0.87672401680348266</c:v>
                </c:pt>
                <c:pt idx="66">
                  <c:v>0.87563085817620523</c:v>
                </c:pt>
                <c:pt idx="67">
                  <c:v>0.87455179503889768</c:v>
                </c:pt>
                <c:pt idx="68">
                  <c:v>0.87348654378654089</c:v>
                </c:pt>
                <c:pt idx="69">
                  <c:v>0.87243482804183814</c:v>
                </c:pt>
                <c:pt idx="70">
                  <c:v>0.8713963784634553</c:v>
                </c:pt>
                <c:pt idx="71">
                  <c:v>0.87037093255688247</c:v>
                </c:pt>
                <c:pt idx="72">
                  <c:v>0.86935823448828942</c:v>
                </c:pt>
                <c:pt idx="73">
                  <c:v>0.86835803490168006</c:v>
                </c:pt>
                <c:pt idx="74">
                  <c:v>0.86737009073959015</c:v>
                </c:pt>
                <c:pt idx="75">
                  <c:v>0.86639416506751854</c:v>
                </c:pt>
                <c:pt idx="76">
                  <c:v>0.86543002690223847</c:v>
                </c:pt>
                <c:pt idx="77">
                  <c:v>0.86447745104409546</c:v>
                </c:pt>
                <c:pt idx="78">
                  <c:v>0.86353621791336699</c:v>
                </c:pt>
                <c:pt idx="79">
                  <c:v>0.86260611339072812</c:v>
                </c:pt>
                <c:pt idx="80">
                  <c:v>0.86168692866184471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'Modelo Directo'!$F$3</c:f>
              <c:strCache>
                <c:ptCount val="1"/>
                <c:pt idx="0">
                  <c:v>s1 (cm)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Directo'!$K$4:$K$84</c:f>
              <c:numCache>
                <c:formatCode>General</c:formatCode>
                <c:ptCount val="81"/>
                <c:pt idx="0">
                  <c:v>0.98317779927435456</c:v>
                </c:pt>
                <c:pt idx="1">
                  <c:v>0.97884421539624644</c:v>
                </c:pt>
                <c:pt idx="2">
                  <c:v>0.97423222043367919</c:v>
                </c:pt>
                <c:pt idx="3">
                  <c:v>0.96940148962059136</c:v>
                </c:pt>
                <c:pt idx="4">
                  <c:v>0.96440299023846243</c:v>
                </c:pt>
                <c:pt idx="5">
                  <c:v>0.95927976847058061</c:v>
                </c:pt>
                <c:pt idx="6">
                  <c:v>0.95406790906601102</c:v>
                </c:pt>
                <c:pt idx="7">
                  <c:v>0.94879750106367744</c:v>
                </c:pt>
                <c:pt idx="8">
                  <c:v>0.94349353249718193</c:v>
                </c:pt>
                <c:pt idx="9">
                  <c:v>0.93817668416078615</c:v>
                </c:pt>
                <c:pt idx="10">
                  <c:v>0.93286401649853945</c:v>
                </c:pt>
                <c:pt idx="11">
                  <c:v>0.92756955516311024</c:v>
                </c:pt>
                <c:pt idx="12">
                  <c:v>0.92230478564181273</c:v>
                </c:pt>
                <c:pt idx="13">
                  <c:v>0.9170790687678686</c:v>
                </c:pt>
                <c:pt idx="14">
                  <c:v>0.91189998866360933</c:v>
                </c:pt>
                <c:pt idx="15">
                  <c:v>0.90677364363176949</c:v>
                </c:pt>
                <c:pt idx="16">
                  <c:v>0.90170488921113057</c:v>
                </c:pt>
                <c:pt idx="17">
                  <c:v>0.896697541291269</c:v>
                </c:pt>
                <c:pt idx="18">
                  <c:v>0.89175454595438086</c:v>
                </c:pt>
                <c:pt idx="19">
                  <c:v>0.88687812162649704</c:v>
                </c:pt>
                <c:pt idx="20">
                  <c:v>0.88206987818611582</c:v>
                </c:pt>
                <c:pt idx="21">
                  <c:v>0.87733091688801801</c:v>
                </c:pt>
                <c:pt idx="22">
                  <c:v>0.87266191429884288</c:v>
                </c:pt>
                <c:pt idx="23">
                  <c:v>0.86806319289163236</c:v>
                </c:pt>
                <c:pt idx="24">
                  <c:v>0.86353478049201771</c:v>
                </c:pt>
                <c:pt idx="25">
                  <c:v>0.85907646039357588</c:v>
                </c:pt>
                <c:pt idx="26">
                  <c:v>0.85468781365061708</c:v>
                </c:pt>
                <c:pt idx="27">
                  <c:v>0.8503682548017818</c:v>
                </c:pt>
                <c:pt idx="28">
                  <c:v>0.84611706206767001</c:v>
                </c:pt>
                <c:pt idx="29">
                  <c:v>0.84193340289230789</c:v>
                </c:pt>
                <c:pt idx="30">
                  <c:v>0.83781635555497136</c:v>
                </c:pt>
                <c:pt idx="31">
                  <c:v>0.83376492746033248</c:v>
                </c:pt>
                <c:pt idx="32">
                  <c:v>0.82977807061663011</c:v>
                </c:pt>
                <c:pt idx="33">
                  <c:v>0.82585469472999118</c:v>
                </c:pt>
                <c:pt idx="34">
                  <c:v>0.82199367827516345</c:v>
                </c:pt>
                <c:pt idx="35">
                  <c:v>0.81819387784637354</c:v>
                </c:pt>
                <c:pt idx="36">
                  <c:v>0.81445413604479688</c:v>
                </c:pt>
                <c:pt idx="37">
                  <c:v>0.81077328811962424</c:v>
                </c:pt>
                <c:pt idx="38">
                  <c:v>0.80715016754659086</c:v>
                </c:pt>
                <c:pt idx="39">
                  <c:v>0.80358361070002293</c:v>
                </c:pt>
                <c:pt idx="40">
                  <c:v>0.8000724607510582</c:v>
                </c:pt>
                <c:pt idx="41">
                  <c:v>0.79661557090496282</c:v>
                </c:pt>
                <c:pt idx="42">
                  <c:v>0.79321180707381611</c:v>
                </c:pt>
                <c:pt idx="43">
                  <c:v>0.78986005006673476</c:v>
                </c:pt>
                <c:pt idx="44">
                  <c:v>0.78655919736786672</c:v>
                </c:pt>
                <c:pt idx="45">
                  <c:v>0.78330816456224639</c:v>
                </c:pt>
                <c:pt idx="46">
                  <c:v>0.78010588646098256</c:v>
                </c:pt>
                <c:pt idx="47">
                  <c:v>0.77695131796991079</c:v>
                </c:pt>
                <c:pt idx="48">
                  <c:v>0.7738434347395815</c:v>
                </c:pt>
                <c:pt idx="49">
                  <c:v>0.77078123362911044</c:v>
                </c:pt>
                <c:pt idx="50">
                  <c:v>0.76776373301184386</c:v>
                </c:pt>
                <c:pt idx="51">
                  <c:v>0.76478997294687801</c:v>
                </c:pt>
                <c:pt idx="52">
                  <c:v>0.76185901523711452</c:v>
                </c:pt>
                <c:pt idx="53">
                  <c:v>0.75896994339165236</c:v>
                </c:pt>
                <c:pt idx="54">
                  <c:v>0.75612186250783819</c:v>
                </c:pt>
                <c:pt idx="55">
                  <c:v>0.75331389908617186</c:v>
                </c:pt>
                <c:pt idx="56">
                  <c:v>0.75054520078942211</c:v>
                </c:pt>
                <c:pt idx="57">
                  <c:v>0.74781493615573291</c:v>
                </c:pt>
                <c:pt idx="58">
                  <c:v>0.74512229427413146</c:v>
                </c:pt>
                <c:pt idx="59">
                  <c:v>0.74246648442967444</c:v>
                </c:pt>
                <c:pt idx="60">
                  <c:v>0.73984673572444937</c:v>
                </c:pt>
                <c:pt idx="61">
                  <c:v>0.73726229667977061</c:v>
                </c:pt>
                <c:pt idx="62">
                  <c:v>0.73471243482414472</c:v>
                </c:pt>
                <c:pt idx="63">
                  <c:v>0.73219643627092568</c:v>
                </c:pt>
                <c:pt idx="64">
                  <c:v>0.72971360528900842</c:v>
                </c:pt>
                <c:pt idx="65">
                  <c:v>0.72726326386941342</c:v>
                </c:pt>
                <c:pt idx="66">
                  <c:v>0.72484475129019221</c:v>
                </c:pt>
                <c:pt idx="67">
                  <c:v>0.72245742368170807</c:v>
                </c:pt>
                <c:pt idx="68">
                  <c:v>0.72010065359402875</c:v>
                </c:pt>
                <c:pt idx="69">
                  <c:v>0.71777382956789104</c:v>
                </c:pt>
                <c:pt idx="70">
                  <c:v>0.71547635571045021</c:v>
                </c:pt>
                <c:pt idx="71">
                  <c:v>0.71320765127682761</c:v>
                </c:pt>
                <c:pt idx="72">
                  <c:v>0.7109671502582835</c:v>
                </c:pt>
                <c:pt idx="73">
                  <c:v>0.70875430097768888</c:v>
                </c:pt>
                <c:pt idx="74">
                  <c:v>0.7065685656928351</c:v>
                </c:pt>
                <c:pt idx="75">
                  <c:v>0.70440942020800423</c:v>
                </c:pt>
                <c:pt idx="76">
                  <c:v>0.70227635349412332</c:v>
                </c:pt>
                <c:pt idx="77">
                  <c:v>0.70016886731774008</c:v>
                </c:pt>
                <c:pt idx="78">
                  <c:v>0.69808647587898243</c:v>
                </c:pt>
                <c:pt idx="79">
                  <c:v>0.69602870545860451</c:v>
                </c:pt>
                <c:pt idx="80">
                  <c:v>0.69399509407416216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'Modelo Directo'!$G$3</c:f>
              <c:strCache>
                <c:ptCount val="1"/>
                <c:pt idx="0">
                  <c:v>s2 (cm)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Directo'!$L$4:$L$84</c:f>
              <c:numCache>
                <c:formatCode>General</c:formatCode>
                <c:ptCount val="81"/>
                <c:pt idx="0">
                  <c:v>0.98630732334757332</c:v>
                </c:pt>
                <c:pt idx="1">
                  <c:v>0.98277993928190566</c:v>
                </c:pt>
                <c:pt idx="2">
                  <c:v>0.97902593843653585</c:v>
                </c:pt>
                <c:pt idx="3">
                  <c:v>0.97509389434210969</c:v>
                </c:pt>
                <c:pt idx="4">
                  <c:v>0.97102529256383552</c:v>
                </c:pt>
                <c:pt idx="5">
                  <c:v>0.96685517117303943</c:v>
                </c:pt>
                <c:pt idx="6">
                  <c:v>0.96261290187970694</c:v>
                </c:pt>
                <c:pt idx="7">
                  <c:v>0.9583229760977432</c:v>
                </c:pt>
                <c:pt idx="8">
                  <c:v>0.95400573320306414</c:v>
                </c:pt>
                <c:pt idx="9">
                  <c:v>0.94967800663104229</c:v>
                </c:pt>
                <c:pt idx="10">
                  <c:v>0.9453536829799728</c:v>
                </c:pt>
                <c:pt idx="11">
                  <c:v>0.94104417863525947</c:v>
                </c:pt>
                <c:pt idx="12">
                  <c:v>0.93675884237751417</c:v>
                </c:pt>
                <c:pt idx="13">
                  <c:v>0.93250529359403289</c:v>
                </c:pt>
                <c:pt idx="14">
                  <c:v>0.92828970549226164</c:v>
                </c:pt>
                <c:pt idx="15">
                  <c:v>0.92411704187502475</c:v>
                </c:pt>
                <c:pt idx="16">
                  <c:v>0.91999125497922574</c:v>
                </c:pt>
                <c:pt idx="17">
                  <c:v>0.91591545080407166</c:v>
                </c:pt>
                <c:pt idx="18">
                  <c:v>0.91189202735631314</c:v>
                </c:pt>
                <c:pt idx="19">
                  <c:v>0.9079227903563083</c:v>
                </c:pt>
                <c:pt idx="20">
                  <c:v>0.90400905018823852</c:v>
                </c:pt>
                <c:pt idx="21">
                  <c:v>0.90015170323456106</c:v>
                </c:pt>
                <c:pt idx="22">
                  <c:v>0.89635130019660092</c:v>
                </c:pt>
                <c:pt idx="23">
                  <c:v>0.89260810355601339</c:v>
                </c:pt>
                <c:pt idx="24">
                  <c:v>0.88892213596187841</c:v>
                </c:pt>
                <c:pt idx="25">
                  <c:v>0.88529322102282915</c:v>
                </c:pt>
                <c:pt idx="26">
                  <c:v>0.88172101773188583</c:v>
                </c:pt>
                <c:pt idx="27">
                  <c:v>0.87820504954420031</c:v>
                </c:pt>
                <c:pt idx="28">
                  <c:v>0.87474472895685906</c:v>
                </c:pt>
                <c:pt idx="29">
                  <c:v>0.87133937829873376</c:v>
                </c:pt>
                <c:pt idx="30">
                  <c:v>0.86798824732174196</c:v>
                </c:pt>
                <c:pt idx="31">
                  <c:v>0.86469052808837943</c:v>
                </c:pt>
                <c:pt idx="32">
                  <c:v>0.86144536757040346</c:v>
                </c:pt>
                <c:pt idx="33">
                  <c:v>0.85825187830714811</c:v>
                </c:pt>
                <c:pt idx="34">
                  <c:v>0.85510914741670896</c:v>
                </c:pt>
                <c:pt idx="35">
                  <c:v>0.85201624420721067</c:v>
                </c:pt>
                <c:pt idx="36">
                  <c:v>0.84897222659692928</c:v>
                </c:pt>
                <c:pt idx="37">
                  <c:v>0.84597614651988506</c:v>
                </c:pt>
                <c:pt idx="38">
                  <c:v>0.84302705446656823</c:v>
                </c:pt>
                <c:pt idx="39">
                  <c:v>0.84012400328681969</c:v>
                </c:pt>
                <c:pt idx="40">
                  <c:v>0.83726605136284427</c:v>
                </c:pt>
                <c:pt idx="41">
                  <c:v>0.83445226524427296</c:v>
                </c:pt>
                <c:pt idx="42">
                  <c:v>0.8316817218236332</c:v>
                </c:pt>
                <c:pt idx="43">
                  <c:v>0.82895351011911445</c:v>
                </c:pt>
                <c:pt idx="44">
                  <c:v>0.82626673272179174</c:v>
                </c:pt>
                <c:pt idx="45">
                  <c:v>0.8236205069562218</c:v>
                </c:pt>
                <c:pt idx="46">
                  <c:v>0.82101396579630659</c:v>
                </c:pt>
                <c:pt idx="47">
                  <c:v>0.81844625857234454</c:v>
                </c:pt>
                <c:pt idx="48">
                  <c:v>0.81591655150009901</c:v>
                </c:pt>
                <c:pt idx="49">
                  <c:v>0.81342402805835579</c:v>
                </c:pt>
                <c:pt idx="50">
                  <c:v>0.81096788923772323</c:v>
                </c:pt>
                <c:pt idx="51">
                  <c:v>0.80854735368024411</c:v>
                </c:pt>
                <c:pt idx="52">
                  <c:v>0.80616165772664949</c:v>
                </c:pt>
                <c:pt idx="53">
                  <c:v>0.80381005538574801</c:v>
                </c:pt>
                <c:pt idx="54">
                  <c:v>0.80149181823841853</c:v>
                </c:pt>
                <c:pt idx="55">
                  <c:v>0.79920623528694978</c:v>
                </c:pt>
                <c:pt idx="56">
                  <c:v>0.79695261275896967</c:v>
                </c:pt>
                <c:pt idx="57">
                  <c:v>0.79473027387392292</c:v>
                </c:pt>
                <c:pt idx="58">
                  <c:v>0.79253855857894706</c:v>
                </c:pt>
                <c:pt idx="59">
                  <c:v>0.79037682326003345</c:v>
                </c:pt>
                <c:pt idx="60">
                  <c:v>0.78824444043353603</c:v>
                </c:pt>
                <c:pt idx="61">
                  <c:v>0.7861407984223725</c:v>
                </c:pt>
                <c:pt idx="62">
                  <c:v>0.78406530102064331</c:v>
                </c:pt>
                <c:pt idx="63">
                  <c:v>0.78201736714985792</c:v>
                </c:pt>
                <c:pt idx="64">
                  <c:v>0.77999643050949352</c:v>
                </c:pt>
                <c:pt idx="65">
                  <c:v>0.77800193922421168</c:v>
                </c:pt>
                <c:pt idx="66">
                  <c:v>0.77603335548970565</c:v>
                </c:pt>
                <c:pt idx="67">
                  <c:v>0.77409015521885449</c:v>
                </c:pt>
                <c:pt idx="68">
                  <c:v>0.77217182768959691</c:v>
                </c:pt>
                <c:pt idx="69">
                  <c:v>0.77027787519571012</c:v>
                </c:pt>
                <c:pt idx="70">
                  <c:v>0.76840781270148584</c:v>
                </c:pt>
                <c:pt idx="71">
                  <c:v>0.76656116750112491</c:v>
                </c:pt>
                <c:pt idx="72">
                  <c:v>0.76473747888352406</c:v>
                </c:pt>
                <c:pt idx="73">
                  <c:v>0.76293629780300432</c:v>
                </c:pt>
                <c:pt idx="74">
                  <c:v>0.76115718655641962</c:v>
                </c:pt>
                <c:pt idx="75">
                  <c:v>0.75939971846698784</c:v>
                </c:pt>
                <c:pt idx="76">
                  <c:v>0.75766347757511099</c:v>
                </c:pt>
                <c:pt idx="77">
                  <c:v>0.75594805833637357</c:v>
                </c:pt>
                <c:pt idx="78">
                  <c:v>0.75425306532685488</c:v>
                </c:pt>
                <c:pt idx="79">
                  <c:v>0.75257811295583665</c:v>
                </c:pt>
                <c:pt idx="80">
                  <c:v>0.75092282518594278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'Modelo Directo'!$H$3</c:f>
              <c:strCache>
                <c:ptCount val="1"/>
                <c:pt idx="0">
                  <c:v>s3 (cm)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'Modelo Directo'!$C$4:$C$84</c:f>
              <c:numCache>
                <c:formatCode>General</c:formatCode>
                <c:ptCount val="81"/>
                <c:pt idx="0">
                  <c:v>0.05</c:v>
                </c:pt>
                <c:pt idx="1">
                  <c:v>5.5E-2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</c:numCache>
            </c:numRef>
          </c:xVal>
          <c:yVal>
            <c:numRef>
              <c:f>'Modelo Directo'!$M$4:$M$84</c:f>
              <c:numCache>
                <c:formatCode>General</c:formatCode>
                <c:ptCount val="81"/>
                <c:pt idx="0">
                  <c:v>0.98918232687120256</c:v>
                </c:pt>
                <c:pt idx="1">
                  <c:v>0.98639557532577993</c:v>
                </c:pt>
                <c:pt idx="2">
                  <c:v>0.98342978893490351</c:v>
                </c:pt>
                <c:pt idx="3">
                  <c:v>0.98032334241453067</c:v>
                </c:pt>
                <c:pt idx="4">
                  <c:v>0.9771090107505449</c:v>
                </c:pt>
                <c:pt idx="5">
                  <c:v>0.97381447519273312</c:v>
                </c:pt>
                <c:pt idx="6">
                  <c:v>0.97046294037565461</c:v>
                </c:pt>
                <c:pt idx="7">
                  <c:v>0.96707375533652207</c:v>
                </c:pt>
                <c:pt idx="8">
                  <c:v>0.96366298886348301</c:v>
                </c:pt>
                <c:pt idx="9">
                  <c:v>0.96024393993424051</c:v>
                </c:pt>
                <c:pt idx="10">
                  <c:v>0.95682757942651553</c:v>
                </c:pt>
                <c:pt idx="11">
                  <c:v>0.9534229266671167</c:v>
                </c:pt>
                <c:pt idx="12">
                  <c:v>0.95003736750582179</c:v>
                </c:pt>
                <c:pt idx="13">
                  <c:v>0.94667692151377092</c:v>
                </c:pt>
                <c:pt idx="14">
                  <c:v>0.94334646573158998</c:v>
                </c:pt>
                <c:pt idx="15">
                  <c:v>0.94004992172974977</c:v>
                </c:pt>
                <c:pt idx="16">
                  <c:v>0.93679041190776624</c:v>
                </c:pt>
                <c:pt idx="17">
                  <c:v>0.93357039010903409</c:v>
                </c:pt>
                <c:pt idx="18">
                  <c:v>0.93039175083919656</c:v>
                </c:pt>
                <c:pt idx="19">
                  <c:v>0.92725592067781093</c:v>
                </c:pt>
                <c:pt idx="20">
                  <c:v>0.92416393487226567</c:v>
                </c:pt>
                <c:pt idx="21">
                  <c:v>0.92111650159472236</c:v>
                </c:pt>
                <c:pt idx="22">
                  <c:v>0.91811405591767092</c:v>
                </c:pt>
                <c:pt idx="23">
                  <c:v>0.91515680521040965</c:v>
                </c:pt>
                <c:pt idx="24">
                  <c:v>0.9122447673664702</c:v>
                </c:pt>
                <c:pt idx="25">
                  <c:v>0.90937780303076554</c:v>
                </c:pt>
                <c:pt idx="26">
                  <c:v>0.90655564279636081</c:v>
                </c:pt>
                <c:pt idx="27">
                  <c:v>0.90377791017686659</c:v>
                </c:pt>
                <c:pt idx="28">
                  <c:v>0.90104414102530539</c:v>
                </c:pt>
                <c:pt idx="29">
                  <c:v>0.89835379995879039</c:v>
                </c:pt>
                <c:pt idx="30">
                  <c:v>0.8957062942562104</c:v>
                </c:pt>
                <c:pt idx="31">
                  <c:v>0.89310098561987861</c:v>
                </c:pt>
                <c:pt idx="32">
                  <c:v>0.89053720012891535</c:v>
                </c:pt>
                <c:pt idx="33">
                  <c:v>0.88801423665967305</c:v>
                </c:pt>
                <c:pt idx="34">
                  <c:v>0.88553137400487425</c:v>
                </c:pt>
                <c:pt idx="35">
                  <c:v>0.88308787688676826</c:v>
                </c:pt>
                <c:pt idx="36">
                  <c:v>0.88068300102924257</c:v>
                </c:pt>
                <c:pt idx="37">
                  <c:v>0.87831599742842192</c:v>
                </c:pt>
                <c:pt idx="38">
                  <c:v>0.8759861159399942</c:v>
                </c:pt>
                <c:pt idx="39">
                  <c:v>0.87369260828361317</c:v>
                </c:pt>
                <c:pt idx="40">
                  <c:v>0.87143473054968568</c:v>
                </c:pt>
                <c:pt idx="41">
                  <c:v>0.8692117452811583</c:v>
                </c:pt>
                <c:pt idx="42">
                  <c:v>0.86702292319221286</c:v>
                </c:pt>
                <c:pt idx="43">
                  <c:v>0.86486754457670934</c:v>
                </c:pt>
                <c:pt idx="44">
                  <c:v>0.86274490045154284</c:v>
                </c:pt>
                <c:pt idx="45">
                  <c:v>0.86065429347355193</c:v>
                </c:pt>
                <c:pt idx="46">
                  <c:v>0.85859503866308184</c:v>
                </c:pt>
                <c:pt idx="47">
                  <c:v>0.85656646396257941</c:v>
                </c:pt>
                <c:pt idx="48">
                  <c:v>0.85456791065457383</c:v>
                </c:pt>
                <c:pt idx="49">
                  <c:v>0.85259873365995997</c:v>
                </c:pt>
                <c:pt idx="50">
                  <c:v>0.8506583017345597</c:v>
                </c:pt>
                <c:pt idx="51">
                  <c:v>0.84874599757941838</c:v>
                </c:pt>
                <c:pt idx="52">
                  <c:v>0.84686121787813873</c:v>
                </c:pt>
                <c:pt idx="53">
                  <c:v>0.84500337327269559</c:v>
                </c:pt>
                <c:pt idx="54">
                  <c:v>0.84317188828758849</c:v>
                </c:pt>
                <c:pt idx="55">
                  <c:v>0.84136620121081385</c:v>
                </c:pt>
                <c:pt idx="56">
                  <c:v>0.83958576393896289</c:v>
                </c:pt>
                <c:pt idx="57">
                  <c:v>0.83783004179273146</c:v>
                </c:pt>
                <c:pt idx="58">
                  <c:v>0.83609851330825269</c:v>
                </c:pt>
                <c:pt idx="59">
                  <c:v>0.83439067000890477</c:v>
                </c:pt>
                <c:pt idx="60">
                  <c:v>0.83270601616159279</c:v>
                </c:pt>
                <c:pt idx="61">
                  <c:v>0.83104406852093615</c:v>
                </c:pt>
                <c:pt idx="62">
                  <c:v>0.8294043560643074</c:v>
                </c:pt>
                <c:pt idx="63">
                  <c:v>0.82778641972023814</c:v>
                </c:pt>
                <c:pt idx="64">
                  <c:v>0.82618981209234987</c:v>
                </c:pt>
                <c:pt idx="65">
                  <c:v>0.82461409718064271</c:v>
                </c:pt>
                <c:pt idx="66">
                  <c:v>0.82305885010170288</c:v>
                </c:pt>
                <c:pt idx="67">
                  <c:v>0.82152365680915307</c:v>
                </c:pt>
                <c:pt idx="68">
                  <c:v>0.82000811381546057</c:v>
                </c:pt>
                <c:pt idx="69">
                  <c:v>0.81851182791604093</c:v>
                </c:pt>
                <c:pt idx="70">
                  <c:v>0.81703441591644066</c:v>
                </c:pt>
                <c:pt idx="71">
                  <c:v>0.81557550436324733</c:v>
                </c:pt>
                <c:pt idx="72">
                  <c:v>0.81413472927925967</c:v>
                </c:pt>
                <c:pt idx="73">
                  <c:v>0.81271173590335288</c:v>
                </c:pt>
                <c:pt idx="74">
                  <c:v>0.81130617843538255</c:v>
                </c:pt>
                <c:pt idx="75">
                  <c:v>0.80991771978640137</c:v>
                </c:pt>
                <c:pt idx="76">
                  <c:v>0.80854603133439618</c:v>
                </c:pt>
                <c:pt idx="77">
                  <c:v>0.80719079268569682</c:v>
                </c:pt>
                <c:pt idx="78">
                  <c:v>0.80585169144216307</c:v>
                </c:pt>
                <c:pt idx="79">
                  <c:v>0.80452842297421401</c:v>
                </c:pt>
                <c:pt idx="80">
                  <c:v>0.80322069019972864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90264"/>
        <c:axId val="381292224"/>
      </c:scatterChart>
      <c:valAx>
        <c:axId val="381290264"/>
        <c:scaling>
          <c:orientation val="minMax"/>
          <c:max val="0.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  <a:r>
                  <a:rPr lang="es-ES"/>
                  <a:t>Mv (m3/m3)</a:t>
                </a:r>
              </a:p>
            </c:rich>
          </c:tx>
          <c:layout>
            <c:manualLayout>
              <c:xMode val="edge"/>
              <c:yMode val="edge"/>
              <c:x val="0.37500038598116409"/>
              <c:y val="0.899456521739130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292224"/>
        <c:crosses val="autoZero"/>
        <c:crossBetween val="midCat"/>
      </c:valAx>
      <c:valAx>
        <c:axId val="381292224"/>
        <c:scaling>
          <c:orientation val="minMax"/>
          <c:max val="1"/>
          <c:min val="0.65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ejaVu Sans"/>
                    <a:ea typeface="DejaVu Sans"/>
                    <a:cs typeface="DejaVu Sans"/>
                  </a:defRPr>
                </a:pPr>
                <a:r>
                  <a:rPr lang="es-ES"/>
                  <a:t>p</a:t>
                </a:r>
              </a:p>
            </c:rich>
          </c:tx>
          <c:layout>
            <c:manualLayout>
              <c:xMode val="edge"/>
              <c:yMode val="edge"/>
              <c:x val="2.7573529411764705E-2"/>
              <c:y val="0.429347826086956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290264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353018372703413"/>
          <c:y val="0.34782608695652173"/>
          <c:w val="0.16360313416705263"/>
          <c:h val="0.2608695652173913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ejaVu Sans"/>
          <a:ea typeface="DejaVu Sans"/>
          <a:cs typeface="DejaVu Sans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12</xdr:col>
      <xdr:colOff>647700</xdr:colOff>
      <xdr:row>18</xdr:row>
      <xdr:rowOff>114300</xdr:rowOff>
    </xdr:to>
    <xdr:sp macro="" textlink="" fLocksText="0">
      <xdr:nvSpPr>
        <xdr:cNvPr id="1028" name="Text Box 4"/>
        <xdr:cNvSpPr txBox="1">
          <a:spLocks noChangeArrowheads="1"/>
        </xdr:cNvSpPr>
      </xdr:nvSpPr>
      <xdr:spPr bwMode="auto">
        <a:xfrm>
          <a:off x="7029450" y="1619250"/>
          <a:ext cx="2990850" cy="1409700"/>
        </a:xfrm>
        <a:prstGeom prst="rect">
          <a:avLst/>
        </a:prstGeom>
        <a:solidFill>
          <a:srgbClr val="FFFFCC"/>
        </a:solidFill>
        <a:ln w="9360">
          <a:solidFill>
            <a:srgbClr val="000000"/>
          </a:solidFill>
          <a:round/>
          <a:headEnd/>
          <a:tailEnd/>
        </a:ln>
        <a:effectLst>
          <a:outerShdw dist="25965" dir="2700000" algn="ctr" rotWithShape="0">
            <a:srgbClr val="000000"/>
          </a:outerShdw>
        </a:effectLst>
      </xdr:spPr>
      <xdr:txBody>
        <a:bodyPr vertOverflow="clip" wrap="square" lIns="36720" tIns="36720" rIns="0" bIns="0" anchor="t"/>
        <a:lstStyle/>
        <a:p>
          <a:pPr algn="l" rtl="0">
            <a:defRPr sz="1000"/>
          </a:pPr>
          <a:r>
            <a:rPr lang="es-ES" sz="1200" b="0" i="0" u="sng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¿Qué es </a:t>
          </a:r>
          <a:r>
            <a:rPr lang="es-ES" sz="1200" b="0" i="1" u="sng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k</a:t>
          </a:r>
          <a:r>
            <a:rPr lang="es-ES" sz="1200" b="0" i="0" u="sng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?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Se la conoce como número de onda. Su expresión es 2·π/λ.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Es el análogo espacial de la frecuencia, mayor longitud de onda, menor k (menor frecuencia espacial).</a:t>
          </a:r>
        </a:p>
      </xdr:txBody>
    </xdr:sp>
    <xdr:clientData/>
  </xdr:twoCellAnchor>
  <xdr:twoCellAnchor>
    <xdr:from>
      <xdr:col>8</xdr:col>
      <xdr:colOff>152400</xdr:colOff>
      <xdr:row>21</xdr:row>
      <xdr:rowOff>123825</xdr:rowOff>
    </xdr:from>
    <xdr:to>
      <xdr:col>11</xdr:col>
      <xdr:colOff>276225</xdr:colOff>
      <xdr:row>28</xdr:row>
      <xdr:rowOff>142875</xdr:rowOff>
    </xdr:to>
    <xdr:sp macro="" textlink="" fLocksText="0">
      <xdr:nvSpPr>
        <xdr:cNvPr id="1029" name="Text Box 5"/>
        <xdr:cNvSpPr txBox="1">
          <a:spLocks noChangeArrowheads="1"/>
        </xdr:cNvSpPr>
      </xdr:nvSpPr>
      <xdr:spPr bwMode="auto">
        <a:xfrm>
          <a:off x="6400800" y="3524250"/>
          <a:ext cx="2466975" cy="1152525"/>
        </a:xfrm>
        <a:prstGeom prst="rect">
          <a:avLst/>
        </a:prstGeom>
        <a:solidFill>
          <a:srgbClr val="FFFFCC"/>
        </a:solidFill>
        <a:ln w="9360">
          <a:solidFill>
            <a:srgbClr val="000000"/>
          </a:solidFill>
          <a:round/>
          <a:headEnd/>
          <a:tailEnd/>
        </a:ln>
        <a:effectLst>
          <a:outerShdw dist="51930" dir="2700000" algn="ctr" rotWithShape="0">
            <a:srgbClr val="000000"/>
          </a:outerShdw>
        </a:effectLst>
      </xdr:spPr>
      <xdr:txBody>
        <a:bodyPr vertOverflow="clip" wrap="square" lIns="36720" tIns="36720" rIns="0" bIns="0" anchor="t"/>
        <a:lstStyle/>
        <a:p>
          <a:pPr algn="l" rtl="0">
            <a:defRPr sz="1000"/>
          </a:pPr>
          <a:r>
            <a:rPr lang="es-ES" sz="1200" b="0" i="0" u="sng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¿Dónde coincide el modelo?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Para valores que cumplan: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0.04 &lt; M</a:t>
          </a:r>
          <a:r>
            <a:rPr lang="es-ES" sz="1200" b="0" i="0" u="none" strike="noStrike" baseline="-25000">
              <a:solidFill>
                <a:srgbClr val="000000"/>
              </a:solidFill>
              <a:latin typeface="DejaVu Sans"/>
              <a:ea typeface="DejaVu Sans"/>
              <a:cs typeface="DejaVu Sans"/>
            </a:rPr>
            <a:t>v</a:t>
          </a: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 &lt; 0.291 m³/m³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10º &lt; </a:t>
          </a:r>
          <a:r>
            <a:rPr lang="es-ES" sz="1200" b="0" i="1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θ</a:t>
          </a: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 &lt; 70º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0.13 &lt; </a:t>
          </a:r>
          <a:r>
            <a:rPr lang="es-ES" sz="1200" b="0" i="1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k</a:t>
          </a: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·</a:t>
          </a:r>
          <a:r>
            <a:rPr lang="es-ES" sz="1200" b="0" i="1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s</a:t>
          </a:r>
          <a:r>
            <a:rPr lang="es-ES" sz="1200" b="0" i="0" u="none" strike="noStrike" baseline="0">
              <a:solidFill>
                <a:srgbClr val="000000"/>
              </a:solidFill>
              <a:latin typeface="DejaVu Sans"/>
              <a:ea typeface="DejaVu Sans"/>
              <a:cs typeface="DejaVu Sans"/>
            </a:rPr>
            <a:t> &lt; 6.98</a:t>
          </a:r>
        </a:p>
      </xdr:txBody>
    </xdr:sp>
    <xdr:clientData/>
  </xdr:twoCellAnchor>
  <xdr:twoCellAnchor editAs="oneCell">
    <xdr:from>
      <xdr:col>2</xdr:col>
      <xdr:colOff>768804</xdr:colOff>
      <xdr:row>0</xdr:row>
      <xdr:rowOff>149677</xdr:rowOff>
    </xdr:from>
    <xdr:to>
      <xdr:col>8</xdr:col>
      <xdr:colOff>48215</xdr:colOff>
      <xdr:row>22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149677"/>
          <a:ext cx="3973876" cy="34426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238125</xdr:colOff>
      <xdr:row>0</xdr:row>
      <xdr:rowOff>133350</xdr:rowOff>
    </xdr:from>
    <xdr:to>
      <xdr:col>33</xdr:col>
      <xdr:colOff>438150</xdr:colOff>
      <xdr:row>13</xdr:row>
      <xdr:rowOff>152400</xdr:rowOff>
    </xdr:to>
    <xdr:graphicFrame macro="">
      <xdr:nvGraphicFramePr>
        <xdr:cNvPr id="206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381000</xdr:colOff>
      <xdr:row>1</xdr:row>
      <xdr:rowOff>323850</xdr:rowOff>
    </xdr:from>
    <xdr:to>
      <xdr:col>20</xdr:col>
      <xdr:colOff>76200</xdr:colOff>
      <xdr:row>10</xdr:row>
      <xdr:rowOff>38100</xdr:rowOff>
    </xdr:to>
    <xdr:graphicFrame macro="">
      <xdr:nvGraphicFramePr>
        <xdr:cNvPr id="207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180975</xdr:colOff>
      <xdr:row>15</xdr:row>
      <xdr:rowOff>28575</xdr:rowOff>
    </xdr:from>
    <xdr:to>
      <xdr:col>24</xdr:col>
      <xdr:colOff>676275</xdr:colOff>
      <xdr:row>36</xdr:row>
      <xdr:rowOff>133350</xdr:rowOff>
    </xdr:to>
    <xdr:graphicFrame macro="">
      <xdr:nvGraphicFramePr>
        <xdr:cNvPr id="2071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533400</xdr:colOff>
      <xdr:row>14</xdr:row>
      <xdr:rowOff>0</xdr:rowOff>
    </xdr:from>
    <xdr:to>
      <xdr:col>17</xdr:col>
      <xdr:colOff>685800</xdr:colOff>
      <xdr:row>19</xdr:row>
      <xdr:rowOff>76200</xdr:rowOff>
    </xdr:to>
    <xdr:pic>
      <xdr:nvPicPr>
        <xdr:cNvPr id="2072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9" t="31392" r="13542" b="42998"/>
        <a:stretch>
          <a:fillRect/>
        </a:stretch>
      </xdr:blipFill>
      <xdr:spPr bwMode="auto">
        <a:xfrm>
          <a:off x="10687050" y="4953000"/>
          <a:ext cx="32766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</xdr:row>
      <xdr:rowOff>142875</xdr:rowOff>
    </xdr:from>
    <xdr:to>
      <xdr:col>12</xdr:col>
      <xdr:colOff>28575</xdr:colOff>
      <xdr:row>31</xdr:row>
      <xdr:rowOff>28575</xdr:rowOff>
    </xdr:to>
    <xdr:pic>
      <xdr:nvPicPr>
        <xdr:cNvPr id="308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304800"/>
          <a:ext cx="7048500" cy="474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</xdr:colOff>
      <xdr:row>3</xdr:row>
      <xdr:rowOff>38100</xdr:rowOff>
    </xdr:from>
    <xdr:to>
      <xdr:col>19</xdr:col>
      <xdr:colOff>9525</xdr:colOff>
      <xdr:row>11</xdr:row>
      <xdr:rowOff>123825</xdr:rowOff>
    </xdr:to>
    <xdr:pic>
      <xdr:nvPicPr>
        <xdr:cNvPr id="410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3209925"/>
          <a:ext cx="23336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22"/>
  <sheetViews>
    <sheetView topLeftCell="C1" zoomScale="140" zoomScaleNormal="140" workbookViewId="0">
      <selection activeCell="I13" sqref="I13"/>
    </sheetView>
  </sheetViews>
  <sheetFormatPr defaultColWidth="10.25" defaultRowHeight="12.75" x14ac:dyDescent="0.2"/>
  <sheetData>
    <row r="2" spans="4:8" x14ac:dyDescent="0.2">
      <c r="D2" s="31"/>
      <c r="E2" s="31"/>
      <c r="F2" s="31"/>
      <c r="G2" s="31"/>
      <c r="H2" s="31"/>
    </row>
    <row r="3" spans="4:8" x14ac:dyDescent="0.2">
      <c r="D3" s="31"/>
      <c r="E3" s="31"/>
      <c r="F3" s="31"/>
      <c r="G3" s="31"/>
      <c r="H3" s="31"/>
    </row>
    <row r="4" spans="4:8" x14ac:dyDescent="0.2">
      <c r="D4" s="31"/>
      <c r="E4" s="31"/>
      <c r="F4" s="31"/>
      <c r="G4" s="31"/>
      <c r="H4" s="31"/>
    </row>
    <row r="5" spans="4:8" x14ac:dyDescent="0.2">
      <c r="D5" s="31"/>
      <c r="E5" s="31"/>
      <c r="F5" s="31"/>
      <c r="G5" s="31"/>
      <c r="H5" s="31"/>
    </row>
    <row r="6" spans="4:8" x14ac:dyDescent="0.2">
      <c r="D6" s="31"/>
      <c r="E6" s="31"/>
      <c r="F6" s="31"/>
      <c r="G6" s="31"/>
      <c r="H6" s="31"/>
    </row>
    <row r="7" spans="4:8" x14ac:dyDescent="0.2">
      <c r="D7" s="31"/>
      <c r="E7" s="31"/>
      <c r="F7" s="31"/>
      <c r="G7" s="31"/>
      <c r="H7" s="31"/>
    </row>
    <row r="8" spans="4:8" x14ac:dyDescent="0.2">
      <c r="D8" s="31"/>
      <c r="E8" s="31"/>
      <c r="F8" s="31"/>
      <c r="G8" s="31"/>
      <c r="H8" s="31"/>
    </row>
    <row r="9" spans="4:8" x14ac:dyDescent="0.2">
      <c r="D9" s="31"/>
      <c r="E9" s="31"/>
      <c r="F9" s="31"/>
      <c r="G9" s="31"/>
      <c r="H9" s="31"/>
    </row>
    <row r="10" spans="4:8" x14ac:dyDescent="0.2">
      <c r="D10" s="31"/>
      <c r="E10" s="31"/>
      <c r="F10" s="31"/>
      <c r="G10" s="31"/>
      <c r="H10" s="31"/>
    </row>
    <row r="11" spans="4:8" x14ac:dyDescent="0.2">
      <c r="D11" s="31"/>
      <c r="E11" s="31"/>
      <c r="F11" s="31"/>
      <c r="G11" s="31"/>
      <c r="H11" s="31"/>
    </row>
    <row r="12" spans="4:8" x14ac:dyDescent="0.2">
      <c r="D12" s="31"/>
      <c r="E12" s="31"/>
      <c r="F12" s="31"/>
      <c r="G12" s="31"/>
      <c r="H12" s="31"/>
    </row>
    <row r="13" spans="4:8" x14ac:dyDescent="0.2">
      <c r="D13" s="31"/>
      <c r="E13" s="31"/>
      <c r="F13" s="31"/>
      <c r="G13" s="31"/>
      <c r="H13" s="31"/>
    </row>
    <row r="14" spans="4:8" x14ac:dyDescent="0.2">
      <c r="D14" s="31"/>
      <c r="E14" s="31"/>
      <c r="F14" s="31"/>
      <c r="G14" s="31"/>
      <c r="H14" s="31"/>
    </row>
    <row r="15" spans="4:8" x14ac:dyDescent="0.2">
      <c r="D15" s="31"/>
      <c r="E15" s="31"/>
      <c r="F15" s="31"/>
      <c r="G15" s="31"/>
      <c r="H15" s="31"/>
    </row>
    <row r="16" spans="4:8" x14ac:dyDescent="0.2">
      <c r="D16" s="31"/>
      <c r="E16" s="31"/>
      <c r="F16" s="31"/>
      <c r="G16" s="31"/>
      <c r="H16" s="31"/>
    </row>
    <row r="17" spans="4:8" x14ac:dyDescent="0.2">
      <c r="D17" s="31"/>
      <c r="E17" s="31"/>
      <c r="F17" s="31"/>
      <c r="G17" s="31"/>
      <c r="H17" s="31"/>
    </row>
    <row r="18" spans="4:8" x14ac:dyDescent="0.2">
      <c r="D18" s="31"/>
      <c r="E18" s="31"/>
      <c r="F18" s="31"/>
      <c r="G18" s="31"/>
      <c r="H18" s="31"/>
    </row>
    <row r="19" spans="4:8" x14ac:dyDescent="0.2">
      <c r="D19" s="31"/>
      <c r="E19" s="31"/>
      <c r="F19" s="31"/>
      <c r="G19" s="31"/>
      <c r="H19" s="31"/>
    </row>
    <row r="20" spans="4:8" x14ac:dyDescent="0.2">
      <c r="D20" s="31"/>
      <c r="E20" s="31"/>
      <c r="F20" s="31"/>
      <c r="G20" s="31"/>
      <c r="H20" s="31"/>
    </row>
    <row r="21" spans="4:8" x14ac:dyDescent="0.2">
      <c r="D21" s="31"/>
      <c r="E21" s="31"/>
      <c r="F21" s="31"/>
      <c r="G21" s="31"/>
      <c r="H21" s="31"/>
    </row>
    <row r="22" spans="4:8" x14ac:dyDescent="0.2">
      <c r="D22" s="31"/>
      <c r="E22" s="31"/>
      <c r="F22" s="31"/>
      <c r="G22" s="31"/>
      <c r="H22" s="31"/>
    </row>
  </sheetData>
  <mergeCells count="1">
    <mergeCell ref="D2:H22"/>
  </mergeCells>
  <phoneticPr fontId="7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 alignWithMargins="0"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opLeftCell="A58" workbookViewId="0">
      <selection activeCell="W2" sqref="W2"/>
    </sheetView>
  </sheetViews>
  <sheetFormatPr defaultColWidth="10.25" defaultRowHeight="12.75" x14ac:dyDescent="0.2"/>
  <sheetData>
    <row r="1" spans="1:15" ht="42.6" customHeight="1" x14ac:dyDescent="0.2">
      <c r="A1" s="2"/>
      <c r="B1" s="3"/>
      <c r="C1" s="32" t="s">
        <v>0</v>
      </c>
      <c r="D1" s="32"/>
      <c r="E1" s="32"/>
      <c r="F1" s="4"/>
      <c r="G1" s="4"/>
      <c r="H1" s="4"/>
      <c r="I1" s="3"/>
      <c r="J1" s="3"/>
    </row>
    <row r="2" spans="1:15" ht="193.35" customHeight="1" x14ac:dyDescent="0.2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15"/>
      <c r="G2" s="16"/>
      <c r="H2" s="17"/>
      <c r="I2" s="18" t="s">
        <v>6</v>
      </c>
      <c r="J2" s="19" t="s">
        <v>28</v>
      </c>
      <c r="K2" s="20" t="s">
        <v>29</v>
      </c>
      <c r="L2" s="21" t="s">
        <v>30</v>
      </c>
      <c r="M2" s="22" t="s">
        <v>31</v>
      </c>
    </row>
    <row r="3" spans="1:15" ht="15" x14ac:dyDescent="0.25">
      <c r="A3" s="3" t="s">
        <v>7</v>
      </c>
      <c r="B3" s="3" t="s">
        <v>8</v>
      </c>
      <c r="C3" s="2" t="s">
        <v>9</v>
      </c>
      <c r="D3" s="3" t="s">
        <v>10</v>
      </c>
      <c r="E3" s="3" t="s">
        <v>11</v>
      </c>
      <c r="F3" s="3" t="s">
        <v>22</v>
      </c>
      <c r="G3" s="3" t="s">
        <v>23</v>
      </c>
      <c r="H3" s="3" t="s">
        <v>24</v>
      </c>
      <c r="I3" s="3" t="s">
        <v>12</v>
      </c>
      <c r="J3" s="3" t="s">
        <v>13</v>
      </c>
      <c r="K3" s="3" t="s">
        <v>25</v>
      </c>
      <c r="L3" s="3" t="s">
        <v>26</v>
      </c>
      <c r="M3" s="3" t="s">
        <v>27</v>
      </c>
    </row>
    <row r="4" spans="1:15" x14ac:dyDescent="0.2">
      <c r="A4">
        <v>19</v>
      </c>
      <c r="B4">
        <v>5</v>
      </c>
      <c r="C4">
        <v>0.05</v>
      </c>
      <c r="D4">
        <v>0.3</v>
      </c>
      <c r="E4">
        <v>1.6</v>
      </c>
      <c r="F4">
        <v>0.6</v>
      </c>
      <c r="G4">
        <v>0.9</v>
      </c>
      <c r="H4">
        <v>1.2</v>
      </c>
      <c r="I4">
        <f>1-(A4/90)^(0.35*C4^(-0.65))*EXP(-0.4*(2*PI()*D4/B4)^1.4)</f>
        <v>0.98011424528755464</v>
      </c>
      <c r="J4">
        <f>1-(A4/90)^(0.35*C4^(-0.65))*EXP(-0.4*(2*PI()*E4/B4)^1.4)</f>
        <v>0.99239642827950325</v>
      </c>
      <c r="K4">
        <f>1-(A4/90)^(0.35*C4^(-0.65))*EXP(-0.4*(2*PI()*F4/B4)^1.4)</f>
        <v>0.98317779927435456</v>
      </c>
      <c r="L4">
        <f>1-(A4/90)^(0.35*C4^(-0.65))*EXP(-0.4*(2*PI()*G4/B4)^1.4)</f>
        <v>0.98630732334757332</v>
      </c>
      <c r="M4">
        <f>1-(A4/90)^(0.35*C4^(-0.65))*EXP(-0.4*(2*PI()*H4/B4)^1.4)</f>
        <v>0.98918232687120256</v>
      </c>
    </row>
    <row r="5" spans="1:15" x14ac:dyDescent="0.2">
      <c r="A5">
        <v>19</v>
      </c>
      <c r="B5">
        <v>5</v>
      </c>
      <c r="C5">
        <v>5.5E-2</v>
      </c>
      <c r="D5">
        <v>0.3</v>
      </c>
      <c r="E5">
        <v>1.6</v>
      </c>
      <c r="F5">
        <v>0.6</v>
      </c>
      <c r="G5">
        <v>0.9</v>
      </c>
      <c r="H5">
        <v>1.2</v>
      </c>
      <c r="I5">
        <f t="shared" ref="I5:I64" si="0">1-(A5/90)^(0.35*C5^(-0.65))*EXP(-0.4*(2*PI()*D5/B5)^1.4)</f>
        <v>0.97499145621665195</v>
      </c>
      <c r="J5">
        <f t="shared" ref="J5:J64" si="1">1-(A5/90)^(0.35*C5^(-0.65))*EXP(-0.4*(2*PI()*E5/B5)^1.4)</f>
        <v>0.99043766459802185</v>
      </c>
      <c r="K5">
        <f t="shared" ref="K5:K64" si="2">1-(A5/90)^(0.35*C5^(-0.65))*EXP(-0.4*(2*PI()*F5/B5)^1.4)</f>
        <v>0.97884421539624644</v>
      </c>
      <c r="L5">
        <f t="shared" ref="L5:L64" si="3">1-(A5/90)^(0.35*C5^(-0.65))*EXP(-0.4*(2*PI()*G5/B5)^1.4)</f>
        <v>0.98277993928190566</v>
      </c>
      <c r="M5">
        <f t="shared" ref="M5:M64" si="4">1-(A5/90)^(0.35*C5^(-0.65))*EXP(-0.4*(2*PI()*H5/B5)^1.4)</f>
        <v>0.98639557532577993</v>
      </c>
      <c r="N5" s="1"/>
      <c r="O5" s="1"/>
    </row>
    <row r="6" spans="1:15" x14ac:dyDescent="0.2">
      <c r="A6">
        <v>19</v>
      </c>
      <c r="B6">
        <v>5</v>
      </c>
      <c r="C6">
        <v>0.06</v>
      </c>
      <c r="D6">
        <v>0.3</v>
      </c>
      <c r="E6">
        <v>1.6</v>
      </c>
      <c r="F6">
        <v>0.6</v>
      </c>
      <c r="G6">
        <v>0.9</v>
      </c>
      <c r="H6">
        <v>1.2</v>
      </c>
      <c r="I6">
        <f t="shared" si="0"/>
        <v>0.96953955357582633</v>
      </c>
      <c r="J6">
        <f t="shared" si="1"/>
        <v>0.98835306014915281</v>
      </c>
      <c r="K6">
        <f t="shared" si="2"/>
        <v>0.97423222043367919</v>
      </c>
      <c r="L6">
        <f t="shared" si="3"/>
        <v>0.97902593843653585</v>
      </c>
      <c r="M6">
        <f t="shared" si="4"/>
        <v>0.98342978893490351</v>
      </c>
      <c r="N6" s="1"/>
      <c r="O6" s="1"/>
    </row>
    <row r="7" spans="1:15" x14ac:dyDescent="0.2">
      <c r="A7">
        <v>19</v>
      </c>
      <c r="B7">
        <v>5</v>
      </c>
      <c r="C7">
        <v>6.5000000000000002E-2</v>
      </c>
      <c r="D7">
        <v>0.3</v>
      </c>
      <c r="E7">
        <v>1.6</v>
      </c>
      <c r="F7">
        <v>0.6</v>
      </c>
      <c r="G7">
        <v>0.9</v>
      </c>
      <c r="H7">
        <v>1.2</v>
      </c>
      <c r="I7">
        <f t="shared" si="0"/>
        <v>0.96382908027940029</v>
      </c>
      <c r="J7">
        <f t="shared" si="1"/>
        <v>0.98616958791512277</v>
      </c>
      <c r="K7">
        <f t="shared" si="2"/>
        <v>0.96940148962059136</v>
      </c>
      <c r="L7">
        <f t="shared" si="3"/>
        <v>0.97509389434210969</v>
      </c>
      <c r="M7">
        <f t="shared" si="4"/>
        <v>0.98032334241453067</v>
      </c>
      <c r="N7" s="1"/>
      <c r="O7" s="1"/>
    </row>
    <row r="8" spans="1:15" x14ac:dyDescent="0.2">
      <c r="A8">
        <v>19</v>
      </c>
      <c r="B8">
        <v>5</v>
      </c>
      <c r="C8">
        <v>7.0000000000000007E-2</v>
      </c>
      <c r="D8">
        <v>0.3</v>
      </c>
      <c r="E8">
        <v>1.6</v>
      </c>
      <c r="F8">
        <v>0.6</v>
      </c>
      <c r="G8">
        <v>0.9</v>
      </c>
      <c r="H8">
        <v>1.2</v>
      </c>
      <c r="I8">
        <f t="shared" si="0"/>
        <v>0.95792028545139707</v>
      </c>
      <c r="J8">
        <f t="shared" si="1"/>
        <v>0.98391028491626276</v>
      </c>
      <c r="K8">
        <f t="shared" si="2"/>
        <v>0.96440299023846243</v>
      </c>
      <c r="L8">
        <f t="shared" si="3"/>
        <v>0.97102529256383552</v>
      </c>
      <c r="M8">
        <f t="shared" si="4"/>
        <v>0.9771090107505449</v>
      </c>
      <c r="N8" s="1"/>
      <c r="O8" s="1"/>
    </row>
    <row r="9" spans="1:15" x14ac:dyDescent="0.2">
      <c r="A9">
        <v>19</v>
      </c>
      <c r="B9">
        <v>5</v>
      </c>
      <c r="C9">
        <v>7.4999999999999997E-2</v>
      </c>
      <c r="D9">
        <v>0.3</v>
      </c>
      <c r="E9">
        <v>1.6</v>
      </c>
      <c r="F9">
        <v>0.6</v>
      </c>
      <c r="G9">
        <v>0.9</v>
      </c>
      <c r="H9">
        <v>1.2</v>
      </c>
      <c r="I9">
        <f t="shared" si="0"/>
        <v>0.95186405457678602</v>
      </c>
      <c r="J9">
        <f t="shared" si="1"/>
        <v>0.98159460786618968</v>
      </c>
      <c r="K9">
        <f t="shared" si="2"/>
        <v>0.95927976847058061</v>
      </c>
      <c r="L9">
        <f t="shared" si="3"/>
        <v>0.96685517117303943</v>
      </c>
      <c r="M9">
        <f t="shared" si="4"/>
        <v>0.97381447519273312</v>
      </c>
      <c r="N9" s="1"/>
      <c r="O9" s="1"/>
    </row>
    <row r="10" spans="1:15" x14ac:dyDescent="0.2">
      <c r="A10">
        <v>19</v>
      </c>
      <c r="B10">
        <v>5</v>
      </c>
      <c r="C10">
        <v>0.08</v>
      </c>
      <c r="D10">
        <v>0.3</v>
      </c>
      <c r="E10">
        <v>1.6</v>
      </c>
      <c r="F10">
        <v>0.6</v>
      </c>
      <c r="G10">
        <v>0.9</v>
      </c>
      <c r="H10">
        <v>1.2</v>
      </c>
      <c r="I10">
        <f t="shared" si="0"/>
        <v>0.94570304393345084</v>
      </c>
      <c r="J10">
        <f t="shared" si="1"/>
        <v>0.97923886693632567</v>
      </c>
      <c r="K10">
        <f t="shared" si="2"/>
        <v>0.95406790906601102</v>
      </c>
      <c r="L10">
        <f t="shared" si="3"/>
        <v>0.96261290187970694</v>
      </c>
      <c r="M10">
        <f t="shared" si="4"/>
        <v>0.97046294037565461</v>
      </c>
    </row>
    <row r="11" spans="1:15" x14ac:dyDescent="0.2">
      <c r="A11">
        <v>19</v>
      </c>
      <c r="B11">
        <v>5</v>
      </c>
      <c r="C11">
        <v>8.5000000000000006E-2</v>
      </c>
      <c r="D11">
        <v>0.3</v>
      </c>
      <c r="E11">
        <v>1.6</v>
      </c>
      <c r="F11">
        <v>0.6</v>
      </c>
      <c r="G11">
        <v>0.9</v>
      </c>
      <c r="H11">
        <v>1.2</v>
      </c>
      <c r="I11">
        <f t="shared" si="0"/>
        <v>0.9394728221879014</v>
      </c>
      <c r="J11">
        <f t="shared" si="1"/>
        <v>0.97685666225956602</v>
      </c>
      <c r="K11">
        <f t="shared" si="2"/>
        <v>0.94879750106367744</v>
      </c>
      <c r="L11">
        <f t="shared" si="3"/>
        <v>0.9583229760977432</v>
      </c>
      <c r="M11">
        <f t="shared" si="4"/>
        <v>0.96707375533652207</v>
      </c>
    </row>
    <row r="12" spans="1:15" x14ac:dyDescent="0.2">
      <c r="A12">
        <v>19</v>
      </c>
      <c r="B12">
        <v>5</v>
      </c>
      <c r="C12">
        <v>0.09</v>
      </c>
      <c r="D12">
        <v>0.3</v>
      </c>
      <c r="E12">
        <v>1.6</v>
      </c>
      <c r="F12">
        <v>0.6</v>
      </c>
      <c r="G12">
        <v>0.9</v>
      </c>
      <c r="H12">
        <v>1.2</v>
      </c>
      <c r="I12">
        <f t="shared" si="0"/>
        <v>0.93320292803813909</v>
      </c>
      <c r="J12">
        <f t="shared" si="1"/>
        <v>0.97445928833350604</v>
      </c>
      <c r="K12">
        <f t="shared" si="2"/>
        <v>0.94349353249718193</v>
      </c>
      <c r="L12">
        <f t="shared" si="3"/>
        <v>0.95400573320306414</v>
      </c>
      <c r="M12">
        <f t="shared" si="4"/>
        <v>0.96366298886348301</v>
      </c>
    </row>
    <row r="13" spans="1:15" x14ac:dyDescent="0.2">
      <c r="A13">
        <v>19</v>
      </c>
      <c r="B13">
        <v>5</v>
      </c>
      <c r="C13">
        <v>9.5000000000000001E-2</v>
      </c>
      <c r="D13">
        <v>0.3</v>
      </c>
      <c r="E13">
        <v>1.6</v>
      </c>
      <c r="F13">
        <v>0.6</v>
      </c>
      <c r="G13">
        <v>0.9</v>
      </c>
      <c r="H13">
        <v>1.2</v>
      </c>
      <c r="I13">
        <f t="shared" si="0"/>
        <v>0.92691780853533501</v>
      </c>
      <c r="J13">
        <f t="shared" si="1"/>
        <v>0.9720560927996923</v>
      </c>
      <c r="K13">
        <f t="shared" si="2"/>
        <v>0.93817668416078615</v>
      </c>
      <c r="L13">
        <f t="shared" si="3"/>
        <v>0.94967800663104229</v>
      </c>
      <c r="M13">
        <f t="shared" si="4"/>
        <v>0.96024393993424051</v>
      </c>
    </row>
    <row r="14" spans="1:15" x14ac:dyDescent="0.2">
      <c r="A14">
        <v>19</v>
      </c>
      <c r="B14">
        <v>5</v>
      </c>
      <c r="C14">
        <v>0.1</v>
      </c>
      <c r="D14">
        <v>0.3</v>
      </c>
      <c r="E14">
        <v>1.6</v>
      </c>
      <c r="F14">
        <v>0.6</v>
      </c>
      <c r="G14">
        <v>0.9</v>
      </c>
      <c r="H14">
        <v>1.2</v>
      </c>
      <c r="I14">
        <f t="shared" si="0"/>
        <v>0.92063763106490926</v>
      </c>
      <c r="J14">
        <f t="shared" si="1"/>
        <v>0.96965478691493534</v>
      </c>
      <c r="K14">
        <f t="shared" si="2"/>
        <v>0.93286401649853945</v>
      </c>
      <c r="L14">
        <f t="shared" si="3"/>
        <v>0.9453536829799728</v>
      </c>
      <c r="M14">
        <f t="shared" si="4"/>
        <v>0.95682757942651553</v>
      </c>
    </row>
    <row r="15" spans="1:15" x14ac:dyDescent="0.2">
      <c r="A15">
        <v>19</v>
      </c>
      <c r="B15">
        <v>5</v>
      </c>
      <c r="C15">
        <v>0.105</v>
      </c>
      <c r="D15">
        <v>0.3</v>
      </c>
      <c r="E15">
        <v>1.6</v>
      </c>
      <c r="F15">
        <v>0.6</v>
      </c>
      <c r="G15">
        <v>0.9</v>
      </c>
      <c r="H15">
        <v>1.2</v>
      </c>
      <c r="I15">
        <f t="shared" si="0"/>
        <v>0.91437897554367487</v>
      </c>
      <c r="J15">
        <f t="shared" si="1"/>
        <v>0.96726171022170804</v>
      </c>
      <c r="K15">
        <f t="shared" si="2"/>
        <v>0.92756955516311024</v>
      </c>
      <c r="L15">
        <f t="shared" si="3"/>
        <v>0.94104417863525947</v>
      </c>
      <c r="M15">
        <f t="shared" si="4"/>
        <v>0.9534229266671167</v>
      </c>
    </row>
    <row r="16" spans="1:15" x14ac:dyDescent="0.2">
      <c r="A16">
        <v>19</v>
      </c>
      <c r="B16">
        <v>5</v>
      </c>
      <c r="C16">
        <v>0.11</v>
      </c>
      <c r="D16">
        <v>0.3</v>
      </c>
      <c r="E16">
        <v>1.6</v>
      </c>
      <c r="F16">
        <v>0.6</v>
      </c>
      <c r="G16">
        <v>0.9</v>
      </c>
      <c r="H16">
        <v>1.2</v>
      </c>
      <c r="I16">
        <f t="shared" si="0"/>
        <v>0.90815541912406361</v>
      </c>
      <c r="J16">
        <f t="shared" si="1"/>
        <v>0.96488205411725769</v>
      </c>
      <c r="K16">
        <f t="shared" si="2"/>
        <v>0.92230478564181273</v>
      </c>
      <c r="L16">
        <f t="shared" si="3"/>
        <v>0.93675884237751417</v>
      </c>
      <c r="M16">
        <f t="shared" si="4"/>
        <v>0.95003736750582179</v>
      </c>
    </row>
    <row r="17" spans="1:13" x14ac:dyDescent="0.2">
      <c r="A17">
        <v>19</v>
      </c>
      <c r="B17">
        <v>5</v>
      </c>
      <c r="C17">
        <v>0.115</v>
      </c>
      <c r="D17">
        <v>0.3</v>
      </c>
      <c r="E17">
        <v>1.6</v>
      </c>
      <c r="F17">
        <v>0.6</v>
      </c>
      <c r="G17">
        <v>0.9</v>
      </c>
      <c r="H17">
        <v>1.2</v>
      </c>
      <c r="I17">
        <f t="shared" si="0"/>
        <v>0.90197802737569877</v>
      </c>
      <c r="J17">
        <f t="shared" si="1"/>
        <v>0.96252004966313953</v>
      </c>
      <c r="K17">
        <f t="shared" si="2"/>
        <v>0.9170790687678686</v>
      </c>
      <c r="L17">
        <f t="shared" si="3"/>
        <v>0.93250529359403289</v>
      </c>
      <c r="M17">
        <f t="shared" si="4"/>
        <v>0.94667692151377092</v>
      </c>
    </row>
    <row r="18" spans="1:13" x14ac:dyDescent="0.2">
      <c r="A18">
        <v>19</v>
      </c>
      <c r="B18">
        <v>5</v>
      </c>
      <c r="C18">
        <v>0.12</v>
      </c>
      <c r="D18">
        <v>0.3</v>
      </c>
      <c r="E18">
        <v>1.6</v>
      </c>
      <c r="F18">
        <v>0.6</v>
      </c>
      <c r="G18">
        <v>0.9</v>
      </c>
      <c r="H18">
        <v>1.2</v>
      </c>
      <c r="I18">
        <f t="shared" si="0"/>
        <v>0.89585576559383817</v>
      </c>
      <c r="J18">
        <f t="shared" si="1"/>
        <v>0.96017912485424106</v>
      </c>
      <c r="K18">
        <f t="shared" si="2"/>
        <v>0.91189998866360933</v>
      </c>
      <c r="L18">
        <f t="shared" si="3"/>
        <v>0.92828970549226164</v>
      </c>
      <c r="M18">
        <f t="shared" si="4"/>
        <v>0.94334646573158998</v>
      </c>
    </row>
    <row r="19" spans="1:13" x14ac:dyDescent="0.2">
      <c r="A19">
        <v>19</v>
      </c>
      <c r="B19">
        <v>5</v>
      </c>
      <c r="C19">
        <v>0.125</v>
      </c>
      <c r="D19">
        <v>0.3</v>
      </c>
      <c r="E19">
        <v>1.6</v>
      </c>
      <c r="F19">
        <v>0.6</v>
      </c>
      <c r="G19">
        <v>0.9</v>
      </c>
      <c r="H19">
        <v>1.2</v>
      </c>
      <c r="I19">
        <f t="shared" si="0"/>
        <v>0.88979584266597056</v>
      </c>
      <c r="J19">
        <f t="shared" si="1"/>
        <v>0.9578620361005572</v>
      </c>
      <c r="K19">
        <f t="shared" si="2"/>
        <v>0.90677364363176949</v>
      </c>
      <c r="L19">
        <f t="shared" si="3"/>
        <v>0.92411704187502475</v>
      </c>
      <c r="M19">
        <f t="shared" si="4"/>
        <v>0.94004992172974977</v>
      </c>
    </row>
    <row r="20" spans="1:13" x14ac:dyDescent="0.2">
      <c r="A20">
        <v>19</v>
      </c>
      <c r="B20">
        <v>5</v>
      </c>
      <c r="C20">
        <v>0.13</v>
      </c>
      <c r="D20">
        <v>0.3</v>
      </c>
      <c r="E20">
        <v>1.6</v>
      </c>
      <c r="F20">
        <v>0.6</v>
      </c>
      <c r="G20">
        <v>0.9</v>
      </c>
      <c r="H20">
        <v>1.2</v>
      </c>
      <c r="I20">
        <f t="shared" si="0"/>
        <v>0.88380399839123269</v>
      </c>
      <c r="J20">
        <f t="shared" si="1"/>
        <v>0.95557097808743063</v>
      </c>
      <c r="K20">
        <f t="shared" si="2"/>
        <v>0.90170488921113057</v>
      </c>
      <c r="L20">
        <f t="shared" si="3"/>
        <v>0.91999125497922574</v>
      </c>
      <c r="M20">
        <f t="shared" si="4"/>
        <v>0.93679041190776624</v>
      </c>
    </row>
    <row r="21" spans="1:13" x14ac:dyDescent="0.2">
      <c r="A21">
        <v>19</v>
      </c>
      <c r="B21">
        <v>5</v>
      </c>
      <c r="C21">
        <v>0.13500000000000001</v>
      </c>
      <c r="D21">
        <v>0.3</v>
      </c>
      <c r="E21">
        <v>1.6</v>
      </c>
      <c r="F21">
        <v>0.6</v>
      </c>
      <c r="G21">
        <v>0.9</v>
      </c>
      <c r="H21">
        <v>1.2</v>
      </c>
      <c r="I21">
        <f t="shared" si="0"/>
        <v>0.87788474358514546</v>
      </c>
      <c r="J21">
        <f t="shared" si="1"/>
        <v>0.95330767558265761</v>
      </c>
      <c r="K21">
        <f t="shared" si="2"/>
        <v>0.896697541291269</v>
      </c>
      <c r="L21">
        <f t="shared" si="3"/>
        <v>0.91591545080407166</v>
      </c>
      <c r="M21">
        <f t="shared" si="4"/>
        <v>0.93357039010903409</v>
      </c>
    </row>
    <row r="22" spans="1:13" x14ac:dyDescent="0.2">
      <c r="A22">
        <v>19</v>
      </c>
      <c r="B22">
        <v>5</v>
      </c>
      <c r="C22">
        <v>0.14000000000000001</v>
      </c>
      <c r="D22">
        <v>0.3</v>
      </c>
      <c r="E22">
        <v>1.6</v>
      </c>
      <c r="F22">
        <v>0.6</v>
      </c>
      <c r="G22">
        <v>0.9</v>
      </c>
      <c r="H22">
        <v>1.2</v>
      </c>
      <c r="I22">
        <f t="shared" si="0"/>
        <v>0.87204156085196916</v>
      </c>
      <c r="J22">
        <f t="shared" si="1"/>
        <v>0.95107346020435624</v>
      </c>
      <c r="K22">
        <f t="shared" si="2"/>
        <v>0.89175454595438086</v>
      </c>
      <c r="L22">
        <f t="shared" si="3"/>
        <v>0.91189202735631314</v>
      </c>
      <c r="M22">
        <f t="shared" si="4"/>
        <v>0.93039175083919656</v>
      </c>
    </row>
    <row r="23" spans="1:13" x14ac:dyDescent="0.2">
      <c r="A23">
        <v>19</v>
      </c>
      <c r="B23">
        <v>5</v>
      </c>
      <c r="C23">
        <v>0.14499999999999999</v>
      </c>
      <c r="D23">
        <v>0.3</v>
      </c>
      <c r="E23">
        <v>1.6</v>
      </c>
      <c r="F23">
        <v>0.6</v>
      </c>
      <c r="G23">
        <v>0.9</v>
      </c>
      <c r="H23">
        <v>1.2</v>
      </c>
      <c r="I23">
        <f t="shared" si="0"/>
        <v>0.86627707262360876</v>
      </c>
      <c r="J23">
        <f t="shared" si="1"/>
        <v>0.94886933467278334</v>
      </c>
      <c r="K23">
        <f t="shared" si="2"/>
        <v>0.88687812162649704</v>
      </c>
      <c r="L23">
        <f t="shared" si="3"/>
        <v>0.9079227903563083</v>
      </c>
      <c r="M23">
        <f t="shared" si="4"/>
        <v>0.92725592067781093</v>
      </c>
    </row>
    <row r="24" spans="1:13" x14ac:dyDescent="0.2">
      <c r="A24">
        <v>19</v>
      </c>
      <c r="B24">
        <v>5</v>
      </c>
      <c r="C24">
        <v>0.15</v>
      </c>
      <c r="D24">
        <v>0.3</v>
      </c>
      <c r="E24">
        <v>1.6</v>
      </c>
      <c r="F24">
        <v>0.6</v>
      </c>
      <c r="G24">
        <v>0.9</v>
      </c>
      <c r="H24">
        <v>1.2</v>
      </c>
      <c r="I24">
        <f t="shared" si="0"/>
        <v>0.86059318195956624</v>
      </c>
      <c r="J24">
        <f t="shared" si="1"/>
        <v>0.94669602664699026</v>
      </c>
      <c r="K24">
        <f t="shared" si="2"/>
        <v>0.88206987818611582</v>
      </c>
      <c r="L24">
        <f t="shared" si="3"/>
        <v>0.90400905018823852</v>
      </c>
      <c r="M24">
        <f t="shared" si="4"/>
        <v>0.92416393487226567</v>
      </c>
    </row>
    <row r="25" spans="1:13" x14ac:dyDescent="0.2">
      <c r="A25">
        <v>19</v>
      </c>
      <c r="B25">
        <v>5</v>
      </c>
      <c r="C25">
        <v>0.155</v>
      </c>
      <c r="D25">
        <v>0.3</v>
      </c>
      <c r="E25">
        <v>1.6</v>
      </c>
      <c r="F25">
        <v>0.6</v>
      </c>
      <c r="G25">
        <v>0.9</v>
      </c>
      <c r="H25">
        <v>1.2</v>
      </c>
      <c r="I25">
        <f t="shared" si="0"/>
        <v>0.85499119066825557</v>
      </c>
      <c r="J25">
        <f t="shared" si="1"/>
        <v>0.94455403389001336</v>
      </c>
      <c r="K25">
        <f t="shared" si="2"/>
        <v>0.87733091688801801</v>
      </c>
      <c r="L25">
        <f t="shared" si="3"/>
        <v>0.90015170323456106</v>
      </c>
      <c r="M25">
        <f t="shared" si="4"/>
        <v>0.92111650159472236</v>
      </c>
    </row>
    <row r="26" spans="1:13" x14ac:dyDescent="0.2">
      <c r="A26">
        <v>19</v>
      </c>
      <c r="B26">
        <v>5</v>
      </c>
      <c r="C26">
        <v>0.16</v>
      </c>
      <c r="D26">
        <v>0.3</v>
      </c>
      <c r="E26">
        <v>1.6</v>
      </c>
      <c r="F26">
        <v>0.6</v>
      </c>
      <c r="G26">
        <v>0.9</v>
      </c>
      <c r="H26">
        <v>1.2</v>
      </c>
      <c r="I26">
        <f t="shared" si="0"/>
        <v>0.8494718985284011</v>
      </c>
      <c r="J26">
        <f t="shared" si="1"/>
        <v>0.94244366220743925</v>
      </c>
      <c r="K26">
        <f t="shared" si="2"/>
        <v>0.87266191429884288</v>
      </c>
      <c r="L26">
        <f t="shared" si="3"/>
        <v>0.89635130019660092</v>
      </c>
      <c r="M26">
        <f t="shared" si="4"/>
        <v>0.91811405591767092</v>
      </c>
    </row>
    <row r="27" spans="1:13" x14ac:dyDescent="0.2">
      <c r="A27">
        <v>19</v>
      </c>
      <c r="B27">
        <v>5</v>
      </c>
      <c r="C27">
        <v>0.16500000000000001</v>
      </c>
      <c r="D27">
        <v>0.3</v>
      </c>
      <c r="E27">
        <v>1.6</v>
      </c>
      <c r="F27">
        <v>0.6</v>
      </c>
      <c r="G27">
        <v>0.9</v>
      </c>
      <c r="H27">
        <v>1.2</v>
      </c>
      <c r="I27">
        <f t="shared" si="0"/>
        <v>0.84403568673981821</v>
      </c>
      <c r="J27">
        <f t="shared" si="1"/>
        <v>0.94036505735587539</v>
      </c>
      <c r="K27">
        <f t="shared" si="2"/>
        <v>0.86806319289163236</v>
      </c>
      <c r="L27">
        <f t="shared" si="3"/>
        <v>0.89260810355601339</v>
      </c>
      <c r="M27">
        <f t="shared" si="4"/>
        <v>0.91515680521040965</v>
      </c>
    </row>
    <row r="28" spans="1:13" x14ac:dyDescent="0.2">
      <c r="A28">
        <v>19</v>
      </c>
      <c r="B28">
        <v>5</v>
      </c>
      <c r="C28">
        <v>0.17</v>
      </c>
      <c r="D28">
        <v>0.3</v>
      </c>
      <c r="E28">
        <v>1.6</v>
      </c>
      <c r="F28">
        <v>0.6</v>
      </c>
      <c r="G28">
        <v>0.9</v>
      </c>
      <c r="H28">
        <v>1.2</v>
      </c>
      <c r="I28">
        <f t="shared" si="0"/>
        <v>0.83868258819556829</v>
      </c>
      <c r="J28">
        <f t="shared" si="1"/>
        <v>0.9383182319124026</v>
      </c>
      <c r="K28">
        <f t="shared" si="2"/>
        <v>0.86353478049201771</v>
      </c>
      <c r="L28">
        <f t="shared" si="3"/>
        <v>0.88892213596187841</v>
      </c>
      <c r="M28">
        <f t="shared" si="4"/>
        <v>0.9122447673664702</v>
      </c>
    </row>
    <row r="29" spans="1:13" x14ac:dyDescent="0.2">
      <c r="A29">
        <v>19</v>
      </c>
      <c r="B29">
        <v>5</v>
      </c>
      <c r="C29">
        <v>0.17499999999999999</v>
      </c>
      <c r="D29">
        <v>0.3</v>
      </c>
      <c r="E29">
        <v>1.6</v>
      </c>
      <c r="F29">
        <v>0.6</v>
      </c>
      <c r="G29">
        <v>0.9</v>
      </c>
      <c r="H29">
        <v>1.2</v>
      </c>
      <c r="I29">
        <f t="shared" si="0"/>
        <v>0.83341234672400977</v>
      </c>
      <c r="J29">
        <f t="shared" si="1"/>
        <v>0.93630308792652961</v>
      </c>
      <c r="K29">
        <f t="shared" si="2"/>
        <v>0.85907646039357588</v>
      </c>
      <c r="L29">
        <f t="shared" si="3"/>
        <v>0.88529322102282915</v>
      </c>
      <c r="M29">
        <f t="shared" si="4"/>
        <v>0.90937780303076554</v>
      </c>
    </row>
    <row r="30" spans="1:13" x14ac:dyDescent="0.2">
      <c r="A30">
        <v>19</v>
      </c>
      <c r="B30">
        <v>5</v>
      </c>
      <c r="C30">
        <v>0.18</v>
      </c>
      <c r="D30">
        <v>0.3</v>
      </c>
      <c r="E30">
        <v>1.6</v>
      </c>
      <c r="F30">
        <v>0.6</v>
      </c>
      <c r="G30">
        <v>0.9</v>
      </c>
      <c r="H30">
        <v>1.2</v>
      </c>
      <c r="I30">
        <f t="shared" si="0"/>
        <v>0.82822446708368391</v>
      </c>
      <c r="J30">
        <f t="shared" si="1"/>
        <v>0.93431943603637346</v>
      </c>
      <c r="K30">
        <f t="shared" si="2"/>
        <v>0.85468781365061708</v>
      </c>
      <c r="L30">
        <f t="shared" si="3"/>
        <v>0.88172101773188583</v>
      </c>
      <c r="M30">
        <f t="shared" si="4"/>
        <v>0.90655564279636081</v>
      </c>
    </row>
    <row r="31" spans="1:13" x14ac:dyDescent="0.2">
      <c r="A31">
        <v>19</v>
      </c>
      <c r="B31">
        <v>5</v>
      </c>
      <c r="C31">
        <v>0.185</v>
      </c>
      <c r="D31">
        <v>0.3</v>
      </c>
      <c r="E31">
        <v>1.6</v>
      </c>
      <c r="F31">
        <v>0.6</v>
      </c>
      <c r="G31">
        <v>0.9</v>
      </c>
      <c r="H31">
        <v>1.2</v>
      </c>
      <c r="I31">
        <f t="shared" si="0"/>
        <v>0.82311825719267007</v>
      </c>
      <c r="J31">
        <f t="shared" si="1"/>
        <v>0.93236701161559277</v>
      </c>
      <c r="K31">
        <f t="shared" si="2"/>
        <v>0.8503682548017818</v>
      </c>
      <c r="L31">
        <f t="shared" si="3"/>
        <v>0.87820504954420031</v>
      </c>
      <c r="M31">
        <f t="shared" si="4"/>
        <v>0.90377791017686659</v>
      </c>
    </row>
    <row r="32" spans="1:13" x14ac:dyDescent="0.2">
      <c r="A32">
        <v>19</v>
      </c>
      <c r="B32">
        <v>5</v>
      </c>
      <c r="C32">
        <v>0.19</v>
      </c>
      <c r="D32">
        <v>0.3</v>
      </c>
      <c r="E32">
        <v>1.6</v>
      </c>
      <c r="F32">
        <v>0.6</v>
      </c>
      <c r="G32">
        <v>0.9</v>
      </c>
      <c r="H32">
        <v>1.2</v>
      </c>
      <c r="I32">
        <f t="shared" si="0"/>
        <v>0.81809286382561797</v>
      </c>
      <c r="J32">
        <f t="shared" si="1"/>
        <v>0.930445488422602</v>
      </c>
      <c r="K32">
        <f t="shared" si="2"/>
        <v>0.84611706206767001</v>
      </c>
      <c r="L32">
        <f t="shared" si="3"/>
        <v>0.87474472895685906</v>
      </c>
      <c r="M32">
        <f t="shared" si="4"/>
        <v>0.90104414102530539</v>
      </c>
    </row>
    <row r="33" spans="1:13" x14ac:dyDescent="0.2">
      <c r="A33">
        <v>19</v>
      </c>
      <c r="B33">
        <v>5</v>
      </c>
      <c r="C33">
        <v>0.19500000000000001</v>
      </c>
      <c r="D33">
        <v>0.3</v>
      </c>
      <c r="E33">
        <v>1.6</v>
      </c>
      <c r="F33">
        <v>0.6</v>
      </c>
      <c r="G33">
        <v>0.9</v>
      </c>
      <c r="H33">
        <v>1.2</v>
      </c>
      <c r="I33">
        <f t="shared" si="0"/>
        <v>0.81314730280666681</v>
      </c>
      <c r="J33">
        <f t="shared" si="1"/>
        <v>0.9285544901452194</v>
      </c>
      <c r="K33">
        <f t="shared" si="2"/>
        <v>0.84193340289230789</v>
      </c>
      <c r="L33">
        <f t="shared" si="3"/>
        <v>0.87133937829873376</v>
      </c>
      <c r="M33">
        <f t="shared" si="4"/>
        <v>0.89835379995879039</v>
      </c>
    </row>
    <row r="34" spans="1:13" x14ac:dyDescent="0.2">
      <c r="A34">
        <v>19</v>
      </c>
      <c r="B34">
        <v>5</v>
      </c>
      <c r="C34">
        <v>0.2</v>
      </c>
      <c r="D34">
        <v>0.3</v>
      </c>
      <c r="E34">
        <v>1.6</v>
      </c>
      <c r="F34">
        <v>0.6</v>
      </c>
      <c r="G34">
        <v>0.9</v>
      </c>
      <c r="H34">
        <v>1.2</v>
      </c>
      <c r="I34">
        <f t="shared" si="0"/>
        <v>0.80828048455707902</v>
      </c>
      <c r="J34">
        <f t="shared" si="1"/>
        <v>0.92669360016912994</v>
      </c>
      <c r="K34">
        <f t="shared" si="2"/>
        <v>0.83781635555497136</v>
      </c>
      <c r="L34">
        <f t="shared" si="3"/>
        <v>0.86798824732174196</v>
      </c>
      <c r="M34">
        <f t="shared" si="4"/>
        <v>0.8957062942562104</v>
      </c>
    </row>
    <row r="35" spans="1:13" x14ac:dyDescent="0.2">
      <c r="A35">
        <v>19</v>
      </c>
      <c r="B35">
        <v>5</v>
      </c>
      <c r="C35">
        <v>0.20499999999999999</v>
      </c>
      <c r="D35">
        <v>0.3</v>
      </c>
      <c r="E35">
        <v>1.6</v>
      </c>
      <c r="F35">
        <v>0.6</v>
      </c>
      <c r="G35">
        <v>0.9</v>
      </c>
      <c r="H35">
        <v>1.2</v>
      </c>
      <c r="I35">
        <f t="shared" si="0"/>
        <v>0.80349123571627323</v>
      </c>
      <c r="J35">
        <f t="shared" si="1"/>
        <v>0.92486236984496317</v>
      </c>
      <c r="K35">
        <f t="shared" si="2"/>
        <v>0.83376492746033248</v>
      </c>
      <c r="L35">
        <f t="shared" si="3"/>
        <v>0.86469052808837943</v>
      </c>
      <c r="M35">
        <f t="shared" si="4"/>
        <v>0.89310098561987861</v>
      </c>
    </row>
    <row r="36" spans="1:13" x14ac:dyDescent="0.2">
      <c r="A36">
        <v>19</v>
      </c>
      <c r="B36">
        <v>5</v>
      </c>
      <c r="C36">
        <v>0.21</v>
      </c>
      <c r="D36">
        <v>0.3</v>
      </c>
      <c r="E36">
        <v>1.6</v>
      </c>
      <c r="F36">
        <v>0.6</v>
      </c>
      <c r="G36">
        <v>0.9</v>
      </c>
      <c r="H36">
        <v>1.2</v>
      </c>
      <c r="I36">
        <f t="shared" si="0"/>
        <v>0.79877831743878325</v>
      </c>
      <c r="J36">
        <f t="shared" si="1"/>
        <v>0.92306032548436823</v>
      </c>
      <c r="K36">
        <f t="shared" si="2"/>
        <v>0.82977807061663011</v>
      </c>
      <c r="L36">
        <f t="shared" si="3"/>
        <v>0.86144536757040346</v>
      </c>
      <c r="M36">
        <f t="shared" si="4"/>
        <v>0.89053720012891535</v>
      </c>
    </row>
    <row r="37" spans="1:13" x14ac:dyDescent="0.2">
      <c r="A37">
        <v>19</v>
      </c>
      <c r="B37">
        <v>5</v>
      </c>
      <c r="C37">
        <v>0.215</v>
      </c>
      <c r="D37">
        <v>0.3</v>
      </c>
      <c r="E37">
        <v>1.6</v>
      </c>
      <c r="F37">
        <v>0.6</v>
      </c>
      <c r="G37">
        <v>0.9</v>
      </c>
      <c r="H37">
        <v>1.2</v>
      </c>
      <c r="I37">
        <f t="shared" si="0"/>
        <v>0.79414044087323477</v>
      </c>
      <c r="J37">
        <f t="shared" si="1"/>
        <v>0.9212869742785984</v>
      </c>
      <c r="K37">
        <f t="shared" si="2"/>
        <v>0.82585469472999118</v>
      </c>
      <c r="L37">
        <f t="shared" si="3"/>
        <v>0.85825187830714811</v>
      </c>
      <c r="M37">
        <f t="shared" si="4"/>
        <v>0.88801423665967305</v>
      </c>
    </row>
    <row r="38" spans="1:13" x14ac:dyDescent="0.2">
      <c r="A38">
        <v>19</v>
      </c>
      <c r="B38">
        <v>5</v>
      </c>
      <c r="C38">
        <v>0.22</v>
      </c>
      <c r="D38">
        <v>0.3</v>
      </c>
      <c r="E38">
        <v>1.6</v>
      </c>
      <c r="F38">
        <v>0.6</v>
      </c>
      <c r="G38">
        <v>0.9</v>
      </c>
      <c r="H38">
        <v>1.2</v>
      </c>
      <c r="I38">
        <f t="shared" si="0"/>
        <v>0.78957628024921078</v>
      </c>
      <c r="J38">
        <f t="shared" si="1"/>
        <v>0.91954180930244012</v>
      </c>
      <c r="K38">
        <f t="shared" si="2"/>
        <v>0.82199367827516345</v>
      </c>
      <c r="L38">
        <f t="shared" si="3"/>
        <v>0.85510914741670896</v>
      </c>
      <c r="M38">
        <f t="shared" si="4"/>
        <v>0.88553137400487425</v>
      </c>
    </row>
    <row r="39" spans="1:13" x14ac:dyDescent="0.2">
      <c r="A39">
        <v>19</v>
      </c>
      <c r="B39">
        <v>5</v>
      </c>
      <c r="C39">
        <v>0.22500000000000001</v>
      </c>
      <c r="D39">
        <v>0.3</v>
      </c>
      <c r="E39">
        <v>1.6</v>
      </c>
      <c r="F39">
        <v>0.6</v>
      </c>
      <c r="G39">
        <v>0.9</v>
      </c>
      <c r="H39">
        <v>1.2</v>
      </c>
      <c r="I39">
        <f t="shared" si="0"/>
        <v>0.78508448393102936</v>
      </c>
      <c r="J39">
        <f t="shared" si="1"/>
        <v>0.91782431374076656</v>
      </c>
      <c r="K39">
        <f t="shared" si="2"/>
        <v>0.81819387784637354</v>
      </c>
      <c r="L39">
        <f t="shared" si="3"/>
        <v>0.85201624420721067</v>
      </c>
      <c r="M39">
        <f t="shared" si="4"/>
        <v>0.88308787688676826</v>
      </c>
    </row>
    <row r="40" spans="1:13" x14ac:dyDescent="0.2">
      <c r="A40">
        <v>19</v>
      </c>
      <c r="B40">
        <v>5</v>
      </c>
      <c r="C40">
        <v>0.23</v>
      </c>
      <c r="D40">
        <v>0.3</v>
      </c>
      <c r="E40">
        <v>1.6</v>
      </c>
      <c r="F40">
        <v>0.6</v>
      </c>
      <c r="G40">
        <v>0.9</v>
      </c>
      <c r="H40">
        <v>1.2</v>
      </c>
      <c r="I40">
        <f t="shared" si="0"/>
        <v>0.78066368374163098</v>
      </c>
      <c r="J40">
        <f t="shared" si="1"/>
        <v>0.91613396445364392</v>
      </c>
      <c r="K40">
        <f t="shared" si="2"/>
        <v>0.81445413604479688</v>
      </c>
      <c r="L40">
        <f t="shared" si="3"/>
        <v>0.84897222659692928</v>
      </c>
      <c r="M40">
        <f t="shared" si="4"/>
        <v>0.88068300102924257</v>
      </c>
    </row>
    <row r="41" spans="1:13" x14ac:dyDescent="0.2">
      <c r="A41">
        <v>19</v>
      </c>
      <c r="B41">
        <v>5</v>
      </c>
      <c r="C41">
        <v>0.23499999999999999</v>
      </c>
      <c r="D41">
        <v>0.3</v>
      </c>
      <c r="E41">
        <v>1.6</v>
      </c>
      <c r="F41">
        <v>0.6</v>
      </c>
      <c r="G41">
        <v>0.9</v>
      </c>
      <c r="H41">
        <v>1.2</v>
      </c>
      <c r="I41">
        <f t="shared" si="0"/>
        <v>0.77631250281307329</v>
      </c>
      <c r="J41">
        <f t="shared" si="1"/>
        <v>0.91447023497806912</v>
      </c>
      <c r="K41">
        <f t="shared" si="2"/>
        <v>0.81077328811962424</v>
      </c>
      <c r="L41">
        <f t="shared" si="3"/>
        <v>0.84597614651988506</v>
      </c>
      <c r="M41">
        <f t="shared" si="4"/>
        <v>0.87831599742842192</v>
      </c>
    </row>
    <row r="42" spans="1:13" x14ac:dyDescent="0.2">
      <c r="A42">
        <v>19</v>
      </c>
      <c r="B42">
        <v>5</v>
      </c>
      <c r="C42">
        <v>0.24</v>
      </c>
      <c r="D42">
        <v>0.3</v>
      </c>
      <c r="E42">
        <v>1.6</v>
      </c>
      <c r="F42">
        <v>0.6</v>
      </c>
      <c r="G42">
        <v>0.9</v>
      </c>
      <c r="H42">
        <v>1.2</v>
      </c>
      <c r="I42">
        <f t="shared" si="0"/>
        <v>0.77202956218098828</v>
      </c>
      <c r="J42">
        <f t="shared" si="1"/>
        <v>0.91283259804944372</v>
      </c>
      <c r="K42">
        <f t="shared" si="2"/>
        <v>0.80715016754659086</v>
      </c>
      <c r="L42">
        <f t="shared" si="3"/>
        <v>0.84302705446656823</v>
      </c>
      <c r="M42">
        <f t="shared" si="4"/>
        <v>0.8759861159399942</v>
      </c>
    </row>
    <row r="43" spans="1:13" x14ac:dyDescent="0.2">
      <c r="A43">
        <v>19</v>
      </c>
      <c r="B43">
        <v>5</v>
      </c>
      <c r="C43">
        <v>0.245</v>
      </c>
      <c r="D43">
        <v>0.3</v>
      </c>
      <c r="E43">
        <v>1.6</v>
      </c>
      <c r="F43">
        <v>0.6</v>
      </c>
      <c r="G43">
        <v>0.9</v>
      </c>
      <c r="H43">
        <v>1.2</v>
      </c>
      <c r="I43">
        <f t="shared" si="0"/>
        <v>0.76781348630747204</v>
      </c>
      <c r="J43">
        <f t="shared" si="1"/>
        <v>0.9112205277133214</v>
      </c>
      <c r="K43">
        <f t="shared" si="2"/>
        <v>0.80358361070002293</v>
      </c>
      <c r="L43">
        <f t="shared" si="3"/>
        <v>0.84012400328681969</v>
      </c>
      <c r="M43">
        <f t="shared" si="4"/>
        <v>0.87369260828361317</v>
      </c>
    </row>
    <row r="44" spans="1:13" x14ac:dyDescent="0.2">
      <c r="A44">
        <v>19</v>
      </c>
      <c r="B44">
        <v>5</v>
      </c>
      <c r="C44">
        <v>0.25</v>
      </c>
      <c r="D44">
        <v>0.3</v>
      </c>
      <c r="E44">
        <v>1.6</v>
      </c>
      <c r="F44">
        <v>0.6</v>
      </c>
      <c r="G44">
        <v>0.9</v>
      </c>
      <c r="H44">
        <v>1.2</v>
      </c>
      <c r="I44">
        <f t="shared" si="0"/>
        <v>0.76366290768922473</v>
      </c>
      <c r="J44">
        <f t="shared" si="1"/>
        <v>0.9096335010873895</v>
      </c>
      <c r="K44">
        <f t="shared" si="2"/>
        <v>0.8000724607510582</v>
      </c>
      <c r="L44">
        <f t="shared" si="3"/>
        <v>0.83726605136284427</v>
      </c>
      <c r="M44">
        <f t="shared" si="4"/>
        <v>0.87143473054968568</v>
      </c>
    </row>
    <row r="45" spans="1:13" x14ac:dyDescent="0.2">
      <c r="A45">
        <v>19</v>
      </c>
      <c r="B45">
        <v>5</v>
      </c>
      <c r="C45">
        <v>0.255</v>
      </c>
      <c r="D45">
        <v>0.3</v>
      </c>
      <c r="E45">
        <v>1.6</v>
      </c>
      <c r="F45">
        <v>0.6</v>
      </c>
      <c r="G45">
        <v>0.9</v>
      </c>
      <c r="H45">
        <v>1.2</v>
      </c>
      <c r="I45">
        <f t="shared" si="0"/>
        <v>0.75957647068442791</v>
      </c>
      <c r="J45">
        <f t="shared" si="1"/>
        <v>0.90807099982472339</v>
      </c>
      <c r="K45">
        <f t="shared" si="2"/>
        <v>0.79661557090496282</v>
      </c>
      <c r="L45">
        <f t="shared" si="3"/>
        <v>0.83445226524427296</v>
      </c>
      <c r="M45">
        <f t="shared" si="4"/>
        <v>0.8692117452811583</v>
      </c>
    </row>
    <row r="46" spans="1:13" x14ac:dyDescent="0.2">
      <c r="A46">
        <v>19</v>
      </c>
      <c r="B46">
        <v>5</v>
      </c>
      <c r="C46">
        <v>0.26</v>
      </c>
      <c r="D46">
        <v>0.3</v>
      </c>
      <c r="E46">
        <v>1.6</v>
      </c>
      <c r="F46">
        <v>0.6</v>
      </c>
      <c r="G46">
        <v>0.9</v>
      </c>
      <c r="H46">
        <v>1.2</v>
      </c>
      <c r="I46">
        <f t="shared" si="0"/>
        <v>0.75555283467216172</v>
      </c>
      <c r="J46">
        <f t="shared" si="1"/>
        <v>0.90653251132183077</v>
      </c>
      <c r="K46">
        <f t="shared" si="2"/>
        <v>0.79321180707381611</v>
      </c>
      <c r="L46">
        <f t="shared" si="3"/>
        <v>0.8316817218236332</v>
      </c>
      <c r="M46">
        <f t="shared" si="4"/>
        <v>0.86702292319221286</v>
      </c>
    </row>
    <row r="47" spans="1:13" x14ac:dyDescent="0.2">
      <c r="A47">
        <v>19</v>
      </c>
      <c r="B47">
        <v>5</v>
      </c>
      <c r="C47">
        <v>0.26500000000000001</v>
      </c>
      <c r="D47">
        <v>0.3</v>
      </c>
      <c r="E47">
        <v>1.6</v>
      </c>
      <c r="F47">
        <v>0.6</v>
      </c>
      <c r="G47">
        <v>0.9</v>
      </c>
      <c r="H47">
        <v>1.2</v>
      </c>
      <c r="I47">
        <f t="shared" si="0"/>
        <v>0.75159067664149892</v>
      </c>
      <c r="J47">
        <f t="shared" si="1"/>
        <v>0.90501752970862437</v>
      </c>
      <c r="K47">
        <f t="shared" si="2"/>
        <v>0.78986005006673476</v>
      </c>
      <c r="L47">
        <f t="shared" si="3"/>
        <v>0.82895351011911445</v>
      </c>
      <c r="M47">
        <f t="shared" si="4"/>
        <v>0.86486754457670934</v>
      </c>
    </row>
    <row r="48" spans="1:13" x14ac:dyDescent="0.2">
      <c r="A48">
        <v>19</v>
      </c>
      <c r="B48">
        <v>5</v>
      </c>
      <c r="C48">
        <v>0.27</v>
      </c>
      <c r="D48">
        <v>0.3</v>
      </c>
      <c r="E48">
        <v>1.6</v>
      </c>
      <c r="F48">
        <v>0.6</v>
      </c>
      <c r="G48">
        <v>0.9</v>
      </c>
      <c r="H48">
        <v>1.2</v>
      </c>
      <c r="I48">
        <f t="shared" si="0"/>
        <v>0.74768869329329557</v>
      </c>
      <c r="J48">
        <f t="shared" si="1"/>
        <v>0.90352555665206846</v>
      </c>
      <c r="K48">
        <f t="shared" si="2"/>
        <v>0.78655919736786672</v>
      </c>
      <c r="L48">
        <f t="shared" si="3"/>
        <v>0.82626673272179174</v>
      </c>
      <c r="M48">
        <f t="shared" si="4"/>
        <v>0.86274490045154284</v>
      </c>
    </row>
    <row r="49" spans="1:13" x14ac:dyDescent="0.2">
      <c r="A49">
        <v>19</v>
      </c>
      <c r="B49">
        <v>5</v>
      </c>
      <c r="C49">
        <v>0.27500000000000002</v>
      </c>
      <c r="D49">
        <v>0.3</v>
      </c>
      <c r="E49">
        <v>1.6</v>
      </c>
      <c r="F49">
        <v>0.6</v>
      </c>
      <c r="G49">
        <v>0.9</v>
      </c>
      <c r="H49">
        <v>1.2</v>
      </c>
      <c r="I49">
        <f t="shared" si="0"/>
        <v>0.74384560272571454</v>
      </c>
      <c r="J49">
        <f t="shared" si="1"/>
        <v>0.90205610200066022</v>
      </c>
      <c r="K49">
        <f t="shared" si="2"/>
        <v>0.78330816456224639</v>
      </c>
      <c r="L49">
        <f t="shared" si="3"/>
        <v>0.8236205069562218</v>
      </c>
      <c r="M49">
        <f t="shared" si="4"/>
        <v>0.86065429347355193</v>
      </c>
    </row>
    <row r="50" spans="1:13" x14ac:dyDescent="0.2">
      <c r="A50">
        <v>19</v>
      </c>
      <c r="B50">
        <v>5</v>
      </c>
      <c r="C50">
        <v>0.28000000000000003</v>
      </c>
      <c r="D50">
        <v>0.3</v>
      </c>
      <c r="E50">
        <v>1.6</v>
      </c>
      <c r="F50">
        <v>0.6</v>
      </c>
      <c r="G50">
        <v>0.9</v>
      </c>
      <c r="H50">
        <v>1.2</v>
      </c>
      <c r="I50">
        <f t="shared" si="0"/>
        <v>0.74006014576432622</v>
      </c>
      <c r="J50">
        <f t="shared" si="1"/>
        <v>0.90060868429301055</v>
      </c>
      <c r="K50">
        <f t="shared" si="2"/>
        <v>0.78010588646098256</v>
      </c>
      <c r="L50">
        <f t="shared" si="3"/>
        <v>0.82101396579630659</v>
      </c>
      <c r="M50">
        <f t="shared" si="4"/>
        <v>0.85859503866308184</v>
      </c>
    </row>
    <row r="51" spans="1:13" x14ac:dyDescent="0.2">
      <c r="A51">
        <v>19</v>
      </c>
      <c r="B51">
        <v>5</v>
      </c>
      <c r="C51">
        <v>0.28499999999999998</v>
      </c>
      <c r="D51">
        <v>0.3</v>
      </c>
      <c r="E51">
        <v>1.6</v>
      </c>
      <c r="F51">
        <v>0.6</v>
      </c>
      <c r="G51">
        <v>0.9</v>
      </c>
      <c r="H51">
        <v>1.2</v>
      </c>
      <c r="I51">
        <f t="shared" si="0"/>
        <v>0.73633108698895278</v>
      </c>
      <c r="J51">
        <f t="shared" si="1"/>
        <v>0.8991828311504716</v>
      </c>
      <c r="K51">
        <f t="shared" si="2"/>
        <v>0.77695131796991079</v>
      </c>
      <c r="L51">
        <f t="shared" si="3"/>
        <v>0.81844625857234454</v>
      </c>
      <c r="M51">
        <f t="shared" si="4"/>
        <v>0.85656646396257941</v>
      </c>
    </row>
    <row r="52" spans="1:13" x14ac:dyDescent="0.2">
      <c r="A52">
        <v>19</v>
      </c>
      <c r="B52">
        <v>5</v>
      </c>
      <c r="C52">
        <v>0.28999999999999998</v>
      </c>
      <c r="D52">
        <v>0.3</v>
      </c>
      <c r="E52">
        <v>1.6</v>
      </c>
      <c r="F52">
        <v>0.6</v>
      </c>
      <c r="G52">
        <v>0.9</v>
      </c>
      <c r="H52">
        <v>1.2</v>
      </c>
      <c r="I52">
        <f t="shared" si="0"/>
        <v>0.73265721550202945</v>
      </c>
      <c r="J52">
        <f t="shared" si="1"/>
        <v>0.8977780795709287</v>
      </c>
      <c r="K52">
        <f t="shared" si="2"/>
        <v>0.7738434347395815</v>
      </c>
      <c r="L52">
        <f t="shared" si="3"/>
        <v>0.81591655150009901</v>
      </c>
      <c r="M52">
        <f t="shared" si="4"/>
        <v>0.85456791065457383</v>
      </c>
    </row>
    <row r="53" spans="1:13" x14ac:dyDescent="0.2">
      <c r="A53">
        <v>19</v>
      </c>
      <c r="B53">
        <v>5</v>
      </c>
      <c r="C53">
        <v>0.29499999999999998</v>
      </c>
      <c r="D53">
        <v>0.3</v>
      </c>
      <c r="E53">
        <v>1.6</v>
      </c>
      <c r="F53">
        <v>0.6</v>
      </c>
      <c r="G53">
        <v>0.9</v>
      </c>
      <c r="H53">
        <v>1.2</v>
      </c>
      <c r="I53">
        <f t="shared" si="0"/>
        <v>0.72903734547692789</v>
      </c>
      <c r="J53">
        <f t="shared" si="1"/>
        <v>0.8963939761384595</v>
      </c>
      <c r="K53">
        <f t="shared" si="2"/>
        <v>0.77078123362911044</v>
      </c>
      <c r="L53">
        <f t="shared" si="3"/>
        <v>0.81342402805835579</v>
      </c>
      <c r="M53">
        <f t="shared" si="4"/>
        <v>0.85259873365995997</v>
      </c>
    </row>
    <row r="54" spans="1:13" x14ac:dyDescent="0.2">
      <c r="A54">
        <v>19</v>
      </c>
      <c r="B54">
        <v>5</v>
      </c>
      <c r="C54">
        <v>0.3</v>
      </c>
      <c r="D54">
        <v>0.3</v>
      </c>
      <c r="E54">
        <v>1.6</v>
      </c>
      <c r="F54">
        <v>0.6</v>
      </c>
      <c r="G54">
        <v>0.9</v>
      </c>
      <c r="H54">
        <v>1.2</v>
      </c>
      <c r="I54">
        <f t="shared" si="0"/>
        <v>0.72547031651928751</v>
      </c>
      <c r="J54">
        <f t="shared" si="1"/>
        <v>0.89503007716149319</v>
      </c>
      <c r="K54">
        <f t="shared" si="2"/>
        <v>0.76776373301184386</v>
      </c>
      <c r="L54">
        <f t="shared" si="3"/>
        <v>0.81096788923772323</v>
      </c>
      <c r="M54">
        <f t="shared" si="4"/>
        <v>0.8506583017345597</v>
      </c>
    </row>
    <row r="55" spans="1:13" x14ac:dyDescent="0.2">
      <c r="A55">
        <v>19</v>
      </c>
      <c r="B55">
        <v>5</v>
      </c>
      <c r="C55">
        <v>0.30499999999999999</v>
      </c>
      <c r="D55">
        <v>0.3</v>
      </c>
      <c r="E55">
        <v>1.6</v>
      </c>
      <c r="F55">
        <v>0.6</v>
      </c>
      <c r="G55">
        <v>0.9</v>
      </c>
      <c r="H55">
        <v>1.2</v>
      </c>
      <c r="I55">
        <f t="shared" si="0"/>
        <v>0.72195499386977091</v>
      </c>
      <c r="J55">
        <f t="shared" si="1"/>
        <v>0.8936859487503368</v>
      </c>
      <c r="K55">
        <f t="shared" si="2"/>
        <v>0.76478997294687801</v>
      </c>
      <c r="L55">
        <f t="shared" si="3"/>
        <v>0.80854735368024411</v>
      </c>
      <c r="M55">
        <f t="shared" si="4"/>
        <v>0.84874599757941838</v>
      </c>
    </row>
    <row r="56" spans="1:13" x14ac:dyDescent="0.2">
      <c r="A56">
        <v>19</v>
      </c>
      <c r="B56">
        <v>5</v>
      </c>
      <c r="C56">
        <v>0.31</v>
      </c>
      <c r="D56">
        <v>0.3</v>
      </c>
      <c r="E56">
        <v>1.6</v>
      </c>
      <c r="F56">
        <v>0.6</v>
      </c>
      <c r="G56">
        <v>0.9</v>
      </c>
      <c r="H56">
        <v>1.2</v>
      </c>
      <c r="I56">
        <f t="shared" si="0"/>
        <v>0.71849026847269171</v>
      </c>
      <c r="J56">
        <f t="shared" si="1"/>
        <v>0.89236116684341571</v>
      </c>
      <c r="K56">
        <f t="shared" si="2"/>
        <v>0.76185901523711452</v>
      </c>
      <c r="L56">
        <f t="shared" si="3"/>
        <v>0.80616165772664949</v>
      </c>
      <c r="M56">
        <f t="shared" si="4"/>
        <v>0.84686121787813873</v>
      </c>
    </row>
    <row r="57" spans="1:13" x14ac:dyDescent="0.2">
      <c r="A57">
        <v>19</v>
      </c>
      <c r="B57">
        <v>5</v>
      </c>
      <c r="C57">
        <v>0.315</v>
      </c>
      <c r="D57">
        <v>0.3</v>
      </c>
      <c r="E57">
        <v>1.6</v>
      </c>
      <c r="F57">
        <v>0.6</v>
      </c>
      <c r="G57">
        <v>0.9</v>
      </c>
      <c r="H57">
        <v>1.2</v>
      </c>
      <c r="I57">
        <f t="shared" si="0"/>
        <v>0.71507505693155804</v>
      </c>
      <c r="J57">
        <f t="shared" si="1"/>
        <v>0.89105531719027553</v>
      </c>
      <c r="K57">
        <f t="shared" si="2"/>
        <v>0.75896994339165236</v>
      </c>
      <c r="L57">
        <f t="shared" si="3"/>
        <v>0.80381005538574801</v>
      </c>
      <c r="M57">
        <f t="shared" si="4"/>
        <v>0.84500337327269559</v>
      </c>
    </row>
    <row r="58" spans="1:13" x14ac:dyDescent="0.2">
      <c r="A58">
        <v>19</v>
      </c>
      <c r="B58">
        <v>5</v>
      </c>
      <c r="C58">
        <v>0.32</v>
      </c>
      <c r="D58">
        <v>0.3</v>
      </c>
      <c r="E58">
        <v>1.6</v>
      </c>
      <c r="F58">
        <v>0.6</v>
      </c>
      <c r="G58">
        <v>0.9</v>
      </c>
      <c r="H58">
        <v>1.2</v>
      </c>
      <c r="I58">
        <f t="shared" si="0"/>
        <v>0.71170830136964214</v>
      </c>
      <c r="J58">
        <f t="shared" si="1"/>
        <v>0.88976799529826867</v>
      </c>
      <c r="K58">
        <f t="shared" si="2"/>
        <v>0.75612186250783819</v>
      </c>
      <c r="L58">
        <f t="shared" si="3"/>
        <v>0.80149181823841853</v>
      </c>
      <c r="M58">
        <f t="shared" si="4"/>
        <v>0.84317188828758849</v>
      </c>
    </row>
    <row r="59" spans="1:13" x14ac:dyDescent="0.2">
      <c r="A59">
        <v>19</v>
      </c>
      <c r="B59">
        <v>5</v>
      </c>
      <c r="C59">
        <v>0.32500000000000001</v>
      </c>
      <c r="D59">
        <v>0.3</v>
      </c>
      <c r="E59">
        <v>1.6</v>
      </c>
      <c r="F59">
        <v>0.6</v>
      </c>
      <c r="G59">
        <v>0.9</v>
      </c>
      <c r="H59">
        <v>1.2</v>
      </c>
      <c r="I59">
        <f t="shared" si="0"/>
        <v>0.70838896921117778</v>
      </c>
      <c r="J59">
        <f t="shared" si="1"/>
        <v>0.88849880634889278</v>
      </c>
      <c r="K59">
        <f t="shared" si="2"/>
        <v>0.75331389908617186</v>
      </c>
      <c r="L59">
        <f t="shared" si="3"/>
        <v>0.79920623528694978</v>
      </c>
      <c r="M59">
        <f t="shared" si="4"/>
        <v>0.84136620121081385</v>
      </c>
    </row>
    <row r="60" spans="1:13" x14ac:dyDescent="0.2">
      <c r="A60">
        <v>19</v>
      </c>
      <c r="B60">
        <v>5</v>
      </c>
      <c r="C60">
        <v>0.33</v>
      </c>
      <c r="D60">
        <v>0.3</v>
      </c>
      <c r="E60">
        <v>1.6</v>
      </c>
      <c r="F60">
        <v>0.6</v>
      </c>
      <c r="G60">
        <v>0.9</v>
      </c>
      <c r="H60">
        <v>1.2</v>
      </c>
      <c r="I60">
        <f t="shared" si="0"/>
        <v>0.70511605289660806</v>
      </c>
      <c r="J60">
        <f t="shared" si="1"/>
        <v>0.88724736508891189</v>
      </c>
      <c r="K60">
        <f t="shared" si="2"/>
        <v>0.75054520078942211</v>
      </c>
      <c r="L60">
        <f t="shared" si="3"/>
        <v>0.79695261275896967</v>
      </c>
      <c r="M60">
        <f t="shared" si="4"/>
        <v>0.83958576393896289</v>
      </c>
    </row>
    <row r="61" spans="1:13" x14ac:dyDescent="0.2">
      <c r="A61">
        <v>19</v>
      </c>
      <c r="B61">
        <v>5</v>
      </c>
      <c r="C61">
        <v>0.33500000000000002</v>
      </c>
      <c r="D61">
        <v>0.3</v>
      </c>
      <c r="E61">
        <v>1.6</v>
      </c>
      <c r="F61">
        <v>0.6</v>
      </c>
      <c r="G61">
        <v>0.9</v>
      </c>
      <c r="H61">
        <v>1.2</v>
      </c>
      <c r="I61">
        <f t="shared" si="0"/>
        <v>0.70188856954344381</v>
      </c>
      <c r="J61">
        <f t="shared" si="1"/>
        <v>0.8860132957006811</v>
      </c>
      <c r="K61">
        <f t="shared" si="2"/>
        <v>0.74781493615573291</v>
      </c>
      <c r="L61">
        <f t="shared" si="3"/>
        <v>0.79473027387392292</v>
      </c>
      <c r="M61">
        <f t="shared" si="4"/>
        <v>0.83783004179273146</v>
      </c>
    </row>
    <row r="62" spans="1:13" x14ac:dyDescent="0.2">
      <c r="A62">
        <v>19</v>
      </c>
      <c r="B62">
        <v>5</v>
      </c>
      <c r="C62">
        <v>0.34</v>
      </c>
      <c r="D62">
        <v>0.3</v>
      </c>
      <c r="E62">
        <v>1.6</v>
      </c>
      <c r="F62">
        <v>0.6</v>
      </c>
      <c r="G62">
        <v>0.9</v>
      </c>
      <c r="H62">
        <v>1.2</v>
      </c>
      <c r="I62">
        <f t="shared" si="0"/>
        <v>0.69870556056267752</v>
      </c>
      <c r="J62">
        <f t="shared" si="1"/>
        <v>0.88479623165547816</v>
      </c>
      <c r="K62">
        <f t="shared" si="2"/>
        <v>0.74512229427413146</v>
      </c>
      <c r="L62">
        <f t="shared" si="3"/>
        <v>0.79253855857894706</v>
      </c>
      <c r="M62">
        <f t="shared" si="4"/>
        <v>0.83609851330825269</v>
      </c>
    </row>
    <row r="63" spans="1:13" x14ac:dyDescent="0.2">
      <c r="A63">
        <v>19</v>
      </c>
      <c r="B63">
        <v>5</v>
      </c>
      <c r="C63">
        <v>0.34499999999999997</v>
      </c>
      <c r="D63">
        <v>0.3</v>
      </c>
      <c r="E63">
        <v>1.6</v>
      </c>
      <c r="F63">
        <v>0.6</v>
      </c>
      <c r="G63">
        <v>0.9</v>
      </c>
      <c r="H63">
        <v>1.2</v>
      </c>
      <c r="I63">
        <f t="shared" si="0"/>
        <v>0.69556609123930535</v>
      </c>
      <c r="J63">
        <f t="shared" si="1"/>
        <v>0.88359581555311029</v>
      </c>
      <c r="K63">
        <f t="shared" si="2"/>
        <v>0.74246648442967444</v>
      </c>
      <c r="L63">
        <f t="shared" si="3"/>
        <v>0.79037682326003345</v>
      </c>
      <c r="M63">
        <f t="shared" si="4"/>
        <v>0.83439067000890477</v>
      </c>
    </row>
    <row r="64" spans="1:13" x14ac:dyDescent="0.2">
      <c r="A64">
        <v>19</v>
      </c>
      <c r="B64">
        <v>5</v>
      </c>
      <c r="C64">
        <v>0.35</v>
      </c>
      <c r="D64">
        <v>0.3</v>
      </c>
      <c r="E64">
        <v>1.6</v>
      </c>
      <c r="F64">
        <v>0.6</v>
      </c>
      <c r="G64">
        <v>0.9</v>
      </c>
      <c r="H64">
        <v>1.2</v>
      </c>
      <c r="I64">
        <f t="shared" si="0"/>
        <v>0.69246925028430883</v>
      </c>
      <c r="J64">
        <f t="shared" si="1"/>
        <v>0.88241169895060834</v>
      </c>
      <c r="K64">
        <f t="shared" si="2"/>
        <v>0.73984673572444937</v>
      </c>
      <c r="L64">
        <f t="shared" si="3"/>
        <v>0.78824444043353603</v>
      </c>
      <c r="M64">
        <f t="shared" si="4"/>
        <v>0.83270601616159279</v>
      </c>
    </row>
    <row r="65" spans="1:13" x14ac:dyDescent="0.2">
      <c r="A65">
        <v>19</v>
      </c>
      <c r="B65">
        <v>5</v>
      </c>
      <c r="C65">
        <v>0.35499999999999998</v>
      </c>
      <c r="D65">
        <v>0.3</v>
      </c>
      <c r="E65">
        <v>1.6</v>
      </c>
      <c r="F65">
        <v>0.6</v>
      </c>
      <c r="G65">
        <v>0.9</v>
      </c>
      <c r="H65">
        <v>1.2</v>
      </c>
      <c r="I65">
        <f t="shared" ref="I65:I84" si="5">1-(A65/90)^(0.35*C65^(-0.65))*EXP(-0.4*(2*PI()*D65/B65)^1.4)</f>
        <v>0.68941414936440371</v>
      </c>
      <c r="J65">
        <f t="shared" ref="J65:J84" si="6">1-(A65/90)^(0.35*C65^(-0.65))*EXP(-0.4*(2*PI()*E65/B65)^1.4)</f>
        <v>0.88124354218242107</v>
      </c>
      <c r="K65">
        <f t="shared" ref="K65:K84" si="7">1-(A65/90)^(0.35*C65^(-0.65))*EXP(-0.4*(2*PI()*F65/B65)^1.4)</f>
        <v>0.73726229667977061</v>
      </c>
      <c r="L65">
        <f t="shared" ref="L65:L84" si="8">1-(A65/90)^(0.35*C65^(-0.65))*EXP(-0.4*(2*PI()*G65/B65)^1.4)</f>
        <v>0.7861407984223725</v>
      </c>
      <c r="M65">
        <f t="shared" ref="M65:M84" si="9">1-(A65/90)^(0.35*C65^(-0.65))*EXP(-0.4*(2*PI()*H65/B65)^1.4)</f>
        <v>0.83104406852093615</v>
      </c>
    </row>
    <row r="66" spans="1:13" x14ac:dyDescent="0.2">
      <c r="A66">
        <v>19</v>
      </c>
      <c r="B66">
        <v>5</v>
      </c>
      <c r="C66">
        <v>0.36</v>
      </c>
      <c r="D66">
        <v>0.3</v>
      </c>
      <c r="E66">
        <v>1.6</v>
      </c>
      <c r="F66">
        <v>0.6</v>
      </c>
      <c r="G66">
        <v>0.9</v>
      </c>
      <c r="H66">
        <v>1.2</v>
      </c>
      <c r="I66">
        <f t="shared" si="5"/>
        <v>0.68639992261496907</v>
      </c>
      <c r="J66">
        <f t="shared" si="6"/>
        <v>0.8800910141741769</v>
      </c>
      <c r="K66">
        <f t="shared" si="7"/>
        <v>0.73471243482414472</v>
      </c>
      <c r="L66">
        <f t="shared" si="8"/>
        <v>0.78406530102064331</v>
      </c>
      <c r="M66">
        <f t="shared" si="9"/>
        <v>0.8294043560643074</v>
      </c>
    </row>
    <row r="67" spans="1:13" x14ac:dyDescent="0.2">
      <c r="A67">
        <v>19</v>
      </c>
      <c r="B67">
        <v>5</v>
      </c>
      <c r="C67">
        <v>0.36499999999999999</v>
      </c>
      <c r="D67">
        <v>0.3</v>
      </c>
      <c r="E67">
        <v>1.6</v>
      </c>
      <c r="F67">
        <v>0.6</v>
      </c>
      <c r="G67">
        <v>0.9</v>
      </c>
      <c r="H67">
        <v>1.2</v>
      </c>
      <c r="I67">
        <f t="shared" si="5"/>
        <v>0.68342572614078811</v>
      </c>
      <c r="J67">
        <f t="shared" si="6"/>
        <v>0.87895379225178594</v>
      </c>
      <c r="K67">
        <f t="shared" si="7"/>
        <v>0.73219643627092568</v>
      </c>
      <c r="L67">
        <f t="shared" si="8"/>
        <v>0.78201736714985792</v>
      </c>
      <c r="M67">
        <f t="shared" si="9"/>
        <v>0.82778641972023814</v>
      </c>
    </row>
    <row r="68" spans="1:13" x14ac:dyDescent="0.2">
      <c r="A68">
        <v>19</v>
      </c>
      <c r="B68">
        <v>5</v>
      </c>
      <c r="C68">
        <v>0.37</v>
      </c>
      <c r="D68">
        <v>0.3</v>
      </c>
      <c r="E68">
        <v>1.6</v>
      </c>
      <c r="F68">
        <v>0.6</v>
      </c>
      <c r="G68">
        <v>0.9</v>
      </c>
      <c r="H68">
        <v>1.2</v>
      </c>
      <c r="I68">
        <f t="shared" si="5"/>
        <v>0.68049073750855771</v>
      </c>
      <c r="J68">
        <f t="shared" si="6"/>
        <v>0.8778315619473942</v>
      </c>
      <c r="K68">
        <f t="shared" si="7"/>
        <v>0.72971360528900842</v>
      </c>
      <c r="L68">
        <f t="shared" si="8"/>
        <v>0.77999643050949352</v>
      </c>
      <c r="M68">
        <f t="shared" si="9"/>
        <v>0.82618981209234987</v>
      </c>
    </row>
    <row r="69" spans="1:13" x14ac:dyDescent="0.2">
      <c r="A69">
        <v>19</v>
      </c>
      <c r="B69">
        <v>5</v>
      </c>
      <c r="C69">
        <v>0.375</v>
      </c>
      <c r="D69">
        <v>0.3</v>
      </c>
      <c r="E69">
        <v>1.6</v>
      </c>
      <c r="F69">
        <v>0.6</v>
      </c>
      <c r="G69">
        <v>0.9</v>
      </c>
      <c r="H69">
        <v>1.2</v>
      </c>
      <c r="I69">
        <f t="shared" si="5"/>
        <v>0.67759415523454369</v>
      </c>
      <c r="J69">
        <f t="shared" si="6"/>
        <v>0.87672401680348266</v>
      </c>
      <c r="K69">
        <f t="shared" si="7"/>
        <v>0.72726326386941342</v>
      </c>
      <c r="L69">
        <f t="shared" si="8"/>
        <v>0.77800193922421168</v>
      </c>
      <c r="M69">
        <f t="shared" si="9"/>
        <v>0.82461409718064271</v>
      </c>
    </row>
    <row r="70" spans="1:13" x14ac:dyDescent="0.2">
      <c r="A70">
        <v>19</v>
      </c>
      <c r="B70">
        <v>5</v>
      </c>
      <c r="C70">
        <v>0.38</v>
      </c>
      <c r="D70">
        <v>0.3</v>
      </c>
      <c r="E70">
        <v>1.6</v>
      </c>
      <c r="F70">
        <v>0.6</v>
      </c>
      <c r="G70">
        <v>0.9</v>
      </c>
      <c r="H70">
        <v>1.2</v>
      </c>
      <c r="I70">
        <f t="shared" si="5"/>
        <v>0.67473519827024842</v>
      </c>
      <c r="J70">
        <f t="shared" si="6"/>
        <v>0.87563085817620523</v>
      </c>
      <c r="K70">
        <f t="shared" si="7"/>
        <v>0.72484475129019221</v>
      </c>
      <c r="L70">
        <f t="shared" si="8"/>
        <v>0.77603335548970565</v>
      </c>
      <c r="M70">
        <f t="shared" si="9"/>
        <v>0.82305885010170288</v>
      </c>
    </row>
    <row r="71" spans="1:13" x14ac:dyDescent="0.2">
      <c r="A71">
        <v>19</v>
      </c>
      <c r="B71">
        <v>5</v>
      </c>
      <c r="C71">
        <v>0.38500000000000001</v>
      </c>
      <c r="D71">
        <v>0.3</v>
      </c>
      <c r="E71">
        <v>1.6</v>
      </c>
      <c r="F71">
        <v>0.6</v>
      </c>
      <c r="G71">
        <v>0.9</v>
      </c>
      <c r="H71">
        <v>1.2</v>
      </c>
      <c r="I71">
        <f t="shared" si="5"/>
        <v>0.6719131054885239</v>
      </c>
      <c r="J71">
        <f t="shared" si="6"/>
        <v>0.87455179503889768</v>
      </c>
      <c r="K71">
        <f t="shared" si="7"/>
        <v>0.72245742368170807</v>
      </c>
      <c r="L71">
        <f t="shared" si="8"/>
        <v>0.77409015521885449</v>
      </c>
      <c r="M71">
        <f t="shared" si="9"/>
        <v>0.82152365680915307</v>
      </c>
    </row>
    <row r="72" spans="1:13" x14ac:dyDescent="0.2">
      <c r="A72">
        <v>19</v>
      </c>
      <c r="B72">
        <v>5</v>
      </c>
      <c r="C72">
        <v>0.39</v>
      </c>
      <c r="D72">
        <v>0.3</v>
      </c>
      <c r="E72">
        <v>1.6</v>
      </c>
      <c r="F72">
        <v>0.6</v>
      </c>
      <c r="G72">
        <v>0.9</v>
      </c>
      <c r="H72">
        <v>1.2</v>
      </c>
      <c r="I72">
        <f t="shared" si="5"/>
        <v>0.66912713517218048</v>
      </c>
      <c r="J72">
        <f t="shared" si="6"/>
        <v>0.87348654378654089</v>
      </c>
      <c r="K72">
        <f t="shared" si="7"/>
        <v>0.72010065359402875</v>
      </c>
      <c r="L72">
        <f t="shared" si="8"/>
        <v>0.77217182768959691</v>
      </c>
      <c r="M72">
        <f t="shared" si="9"/>
        <v>0.82000811381546057</v>
      </c>
    </row>
    <row r="73" spans="1:13" x14ac:dyDescent="0.2">
      <c r="A73">
        <v>19</v>
      </c>
      <c r="B73">
        <v>5</v>
      </c>
      <c r="C73">
        <v>0.39500000000000002</v>
      </c>
      <c r="D73">
        <v>0.3</v>
      </c>
      <c r="E73">
        <v>1.6</v>
      </c>
      <c r="F73">
        <v>0.6</v>
      </c>
      <c r="G73">
        <v>0.9</v>
      </c>
      <c r="H73">
        <v>1.2</v>
      </c>
      <c r="I73">
        <f t="shared" si="5"/>
        <v>0.66637656450681804</v>
      </c>
      <c r="J73">
        <f t="shared" si="6"/>
        <v>0.87243482804183814</v>
      </c>
      <c r="K73">
        <f t="shared" si="7"/>
        <v>0.71777382956789104</v>
      </c>
      <c r="L73">
        <f t="shared" si="8"/>
        <v>0.77027787519571012</v>
      </c>
      <c r="M73">
        <f t="shared" si="9"/>
        <v>0.81851182791604093</v>
      </c>
    </row>
    <row r="74" spans="1:13" x14ac:dyDescent="0.2">
      <c r="A74">
        <v>19</v>
      </c>
      <c r="B74">
        <v>5</v>
      </c>
      <c r="C74">
        <v>0.4</v>
      </c>
      <c r="D74">
        <v>0.3</v>
      </c>
      <c r="E74">
        <v>1.6</v>
      </c>
      <c r="F74">
        <v>0.6</v>
      </c>
      <c r="G74">
        <v>0.9</v>
      </c>
      <c r="H74">
        <v>1.2</v>
      </c>
      <c r="I74">
        <f t="shared" si="5"/>
        <v>0.66366068907931375</v>
      </c>
      <c r="J74">
        <f t="shared" si="6"/>
        <v>0.8713963784634553</v>
      </c>
      <c r="K74">
        <f t="shared" si="7"/>
        <v>0.71547635571045021</v>
      </c>
      <c r="L74">
        <f t="shared" si="8"/>
        <v>0.76840781270148584</v>
      </c>
      <c r="M74">
        <f t="shared" si="9"/>
        <v>0.81703441591644066</v>
      </c>
    </row>
    <row r="75" spans="1:13" x14ac:dyDescent="0.2">
      <c r="A75">
        <v>19</v>
      </c>
      <c r="B75">
        <v>5</v>
      </c>
      <c r="C75">
        <v>0.40500000000000003</v>
      </c>
      <c r="D75">
        <v>0.3</v>
      </c>
      <c r="E75">
        <v>1.6</v>
      </c>
      <c r="F75">
        <v>0.6</v>
      </c>
      <c r="G75">
        <v>0.9</v>
      </c>
      <c r="H75">
        <v>1.2</v>
      </c>
      <c r="I75">
        <f t="shared" si="5"/>
        <v>0.66097882238316397</v>
      </c>
      <c r="J75">
        <f t="shared" si="6"/>
        <v>0.87037093255688247</v>
      </c>
      <c r="K75">
        <f t="shared" si="7"/>
        <v>0.71320765127682761</v>
      </c>
      <c r="L75">
        <f t="shared" si="8"/>
        <v>0.76656116750112491</v>
      </c>
      <c r="M75">
        <f t="shared" si="9"/>
        <v>0.81557550436324733</v>
      </c>
    </row>
    <row r="76" spans="1:13" x14ac:dyDescent="0.2">
      <c r="A76">
        <v>19</v>
      </c>
      <c r="B76">
        <v>5</v>
      </c>
      <c r="C76">
        <v>0.41</v>
      </c>
      <c r="D76">
        <v>0.3</v>
      </c>
      <c r="E76">
        <v>1.6</v>
      </c>
      <c r="F76">
        <v>0.6</v>
      </c>
      <c r="G76">
        <v>0.9</v>
      </c>
      <c r="H76">
        <v>1.2</v>
      </c>
      <c r="I76">
        <f t="shared" si="5"/>
        <v>0.65833029533165699</v>
      </c>
      <c r="J76">
        <f t="shared" si="6"/>
        <v>0.86935823448828942</v>
      </c>
      <c r="K76">
        <f t="shared" si="7"/>
        <v>0.7109671502582835</v>
      </c>
      <c r="L76">
        <f t="shared" si="8"/>
        <v>0.76473747888352406</v>
      </c>
      <c r="M76">
        <f t="shared" si="9"/>
        <v>0.81413472927925967</v>
      </c>
    </row>
    <row r="77" spans="1:13" x14ac:dyDescent="0.2">
      <c r="A77">
        <v>19</v>
      </c>
      <c r="B77">
        <v>5</v>
      </c>
      <c r="C77">
        <v>0.41499999999999998</v>
      </c>
      <c r="D77">
        <v>0.3</v>
      </c>
      <c r="E77">
        <v>1.6</v>
      </c>
      <c r="F77">
        <v>0.6</v>
      </c>
      <c r="G77">
        <v>0.9</v>
      </c>
      <c r="H77">
        <v>1.2</v>
      </c>
      <c r="I77">
        <f t="shared" si="5"/>
        <v>0.65571445577967546</v>
      </c>
      <c r="J77">
        <f t="shared" si="6"/>
        <v>0.86835803490168006</v>
      </c>
      <c r="K77">
        <f t="shared" si="7"/>
        <v>0.70875430097768888</v>
      </c>
      <c r="L77">
        <f t="shared" si="8"/>
        <v>0.76293629780300432</v>
      </c>
      <c r="M77">
        <f t="shared" si="9"/>
        <v>0.81271173590335288</v>
      </c>
    </row>
    <row r="78" spans="1:13" x14ac:dyDescent="0.2">
      <c r="A78">
        <v>19</v>
      </c>
      <c r="B78">
        <v>5</v>
      </c>
      <c r="C78">
        <v>0.42</v>
      </c>
      <c r="D78">
        <v>0.3</v>
      </c>
      <c r="E78">
        <v>1.6</v>
      </c>
      <c r="F78">
        <v>0.6</v>
      </c>
      <c r="G78">
        <v>0.9</v>
      </c>
      <c r="H78">
        <v>1.2</v>
      </c>
      <c r="I78">
        <f t="shared" si="5"/>
        <v>0.65313066805476283</v>
      </c>
      <c r="J78">
        <f t="shared" si="6"/>
        <v>0.86737009073959015</v>
      </c>
      <c r="K78">
        <f t="shared" si="7"/>
        <v>0.7065685656928351</v>
      </c>
      <c r="L78">
        <f t="shared" si="8"/>
        <v>0.76115718655641962</v>
      </c>
      <c r="M78">
        <f t="shared" si="9"/>
        <v>0.81130617843538255</v>
      </c>
    </row>
    <row r="79" spans="1:13" x14ac:dyDescent="0.2">
      <c r="A79">
        <v>19</v>
      </c>
      <c r="B79">
        <v>5</v>
      </c>
      <c r="C79">
        <v>0.42499999999999999</v>
      </c>
      <c r="D79">
        <v>0.3</v>
      </c>
      <c r="E79">
        <v>1.6</v>
      </c>
      <c r="F79">
        <v>0.6</v>
      </c>
      <c r="G79">
        <v>0.9</v>
      </c>
      <c r="H79">
        <v>1.2</v>
      </c>
      <c r="I79">
        <f t="shared" si="5"/>
        <v>0.65057831249795539</v>
      </c>
      <c r="J79">
        <f t="shared" si="6"/>
        <v>0.86639416506751854</v>
      </c>
      <c r="K79">
        <f t="shared" si="7"/>
        <v>0.70440942020800423</v>
      </c>
      <c r="L79">
        <f t="shared" si="8"/>
        <v>0.75939971846698784</v>
      </c>
      <c r="M79">
        <f t="shared" si="9"/>
        <v>0.80991771978640137</v>
      </c>
    </row>
    <row r="80" spans="1:13" x14ac:dyDescent="0.2">
      <c r="A80">
        <v>19</v>
      </c>
      <c r="B80">
        <v>5</v>
      </c>
      <c r="C80">
        <v>0.43</v>
      </c>
      <c r="D80">
        <v>0.3</v>
      </c>
      <c r="E80">
        <v>1.6</v>
      </c>
      <c r="F80">
        <v>0.6</v>
      </c>
      <c r="G80">
        <v>0.9</v>
      </c>
      <c r="H80">
        <v>1.2</v>
      </c>
      <c r="I80">
        <f t="shared" si="5"/>
        <v>0.6480567850147616</v>
      </c>
      <c r="J80">
        <f t="shared" si="6"/>
        <v>0.86543002690223847</v>
      </c>
      <c r="K80">
        <f t="shared" si="7"/>
        <v>0.70227635349412332</v>
      </c>
      <c r="L80">
        <f t="shared" si="8"/>
        <v>0.75766347757511099</v>
      </c>
      <c r="M80">
        <f t="shared" si="9"/>
        <v>0.80854603133439618</v>
      </c>
    </row>
    <row r="81" spans="1:13" x14ac:dyDescent="0.2">
      <c r="A81">
        <v>19</v>
      </c>
      <c r="B81">
        <v>5</v>
      </c>
      <c r="C81">
        <v>0.435</v>
      </c>
      <c r="D81">
        <v>0.3</v>
      </c>
      <c r="E81">
        <v>1.6</v>
      </c>
      <c r="F81">
        <v>0.6</v>
      </c>
      <c r="G81">
        <v>0.9</v>
      </c>
      <c r="H81">
        <v>1.2</v>
      </c>
      <c r="I81">
        <f t="shared" si="5"/>
        <v>0.6455654966365687</v>
      </c>
      <c r="J81">
        <f t="shared" si="6"/>
        <v>0.86447745104409546</v>
      </c>
      <c r="K81">
        <f t="shared" si="7"/>
        <v>0.70016886731774008</v>
      </c>
      <c r="L81">
        <f t="shared" si="8"/>
        <v>0.75594805833637357</v>
      </c>
      <c r="M81">
        <f t="shared" si="9"/>
        <v>0.80719079268569682</v>
      </c>
    </row>
    <row r="82" spans="1:13" x14ac:dyDescent="0.2">
      <c r="A82">
        <v>19</v>
      </c>
      <c r="B82">
        <v>5</v>
      </c>
      <c r="C82">
        <v>0.44</v>
      </c>
      <c r="D82">
        <v>0.3</v>
      </c>
      <c r="E82">
        <v>1.6</v>
      </c>
      <c r="F82">
        <v>0.6</v>
      </c>
      <c r="G82">
        <v>0.9</v>
      </c>
      <c r="H82">
        <v>1.2</v>
      </c>
      <c r="I82">
        <f t="shared" si="5"/>
        <v>0.64310387309267059</v>
      </c>
      <c r="J82">
        <f t="shared" si="6"/>
        <v>0.86353621791336699</v>
      </c>
      <c r="K82">
        <f t="shared" si="7"/>
        <v>0.69808647587898243</v>
      </c>
      <c r="L82">
        <f t="shared" si="8"/>
        <v>0.75425306532685488</v>
      </c>
      <c r="M82">
        <f t="shared" si="9"/>
        <v>0.80585169144216307</v>
      </c>
    </row>
    <row r="83" spans="1:13" x14ac:dyDescent="0.2">
      <c r="A83">
        <v>19</v>
      </c>
      <c r="B83">
        <v>5</v>
      </c>
      <c r="C83">
        <v>0.44500000000000001</v>
      </c>
      <c r="D83">
        <v>0.3</v>
      </c>
      <c r="E83">
        <v>1.6</v>
      </c>
      <c r="F83">
        <v>0.6</v>
      </c>
      <c r="G83">
        <v>0.9</v>
      </c>
      <c r="H83">
        <v>1.2</v>
      </c>
      <c r="I83">
        <f t="shared" si="5"/>
        <v>0.64067135439303458</v>
      </c>
      <c r="J83">
        <f t="shared" si="6"/>
        <v>0.86260611339072812</v>
      </c>
      <c r="K83">
        <f t="shared" si="7"/>
        <v>0.69602870545860451</v>
      </c>
      <c r="L83">
        <f t="shared" si="8"/>
        <v>0.75257811295583665</v>
      </c>
      <c r="M83">
        <f t="shared" si="9"/>
        <v>0.80452842297421401</v>
      </c>
    </row>
    <row r="84" spans="1:13" x14ac:dyDescent="0.2">
      <c r="A84">
        <v>19</v>
      </c>
      <c r="B84">
        <v>5</v>
      </c>
      <c r="C84">
        <v>0.45</v>
      </c>
      <c r="D84">
        <v>0.3</v>
      </c>
      <c r="E84">
        <v>1.6</v>
      </c>
      <c r="F84">
        <v>0.6</v>
      </c>
      <c r="G84">
        <v>0.9</v>
      </c>
      <c r="H84">
        <v>1.2</v>
      </c>
      <c r="I84">
        <f t="shared" si="5"/>
        <v>0.63826739442186364</v>
      </c>
      <c r="J84">
        <f t="shared" si="6"/>
        <v>0.86168692866184471</v>
      </c>
      <c r="K84">
        <f t="shared" si="7"/>
        <v>0.69399509407416216</v>
      </c>
      <c r="L84">
        <f t="shared" si="8"/>
        <v>0.75092282518594278</v>
      </c>
      <c r="M84">
        <f t="shared" si="9"/>
        <v>0.80322069019972864</v>
      </c>
    </row>
  </sheetData>
  <mergeCells count="1">
    <mergeCell ref="C1:E1"/>
  </mergeCells>
  <phoneticPr fontId="7" type="noConversion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31"/>
  <sheetViews>
    <sheetView workbookViewId="0">
      <selection activeCell="C21" sqref="C21"/>
    </sheetView>
  </sheetViews>
  <sheetFormatPr defaultColWidth="10.25" defaultRowHeight="12.75" x14ac:dyDescent="0.2"/>
  <sheetData>
    <row r="3" spans="4:12" x14ac:dyDescent="0.2">
      <c r="D3" s="31"/>
      <c r="E3" s="31"/>
      <c r="F3" s="31"/>
      <c r="G3" s="31"/>
      <c r="H3" s="31"/>
      <c r="I3" s="31"/>
      <c r="J3" s="31"/>
      <c r="K3" s="31"/>
      <c r="L3" s="31"/>
    </row>
    <row r="4" spans="4:12" x14ac:dyDescent="0.2">
      <c r="D4" s="31"/>
      <c r="E4" s="31"/>
      <c r="F4" s="31"/>
      <c r="G4" s="31"/>
      <c r="H4" s="31"/>
      <c r="I4" s="31"/>
      <c r="J4" s="31"/>
      <c r="K4" s="31"/>
      <c r="L4" s="31"/>
    </row>
    <row r="5" spans="4:12" x14ac:dyDescent="0.2">
      <c r="D5" s="31"/>
      <c r="E5" s="31"/>
      <c r="F5" s="31"/>
      <c r="G5" s="31"/>
      <c r="H5" s="31"/>
      <c r="I5" s="31"/>
      <c r="J5" s="31"/>
      <c r="K5" s="31"/>
      <c r="L5" s="31"/>
    </row>
    <row r="6" spans="4:12" x14ac:dyDescent="0.2">
      <c r="D6" s="31"/>
      <c r="E6" s="31"/>
      <c r="F6" s="31"/>
      <c r="G6" s="31"/>
      <c r="H6" s="31"/>
      <c r="I6" s="31"/>
      <c r="J6" s="31"/>
      <c r="K6" s="31"/>
      <c r="L6" s="31"/>
    </row>
    <row r="7" spans="4:12" x14ac:dyDescent="0.2">
      <c r="D7" s="31"/>
      <c r="E7" s="31"/>
      <c r="F7" s="31"/>
      <c r="G7" s="31"/>
      <c r="H7" s="31"/>
      <c r="I7" s="31"/>
      <c r="J7" s="31"/>
      <c r="K7" s="31"/>
      <c r="L7" s="31"/>
    </row>
    <row r="8" spans="4:12" x14ac:dyDescent="0.2">
      <c r="D8" s="31"/>
      <c r="E8" s="31"/>
      <c r="F8" s="31"/>
      <c r="G8" s="31"/>
      <c r="H8" s="31"/>
      <c r="I8" s="31"/>
      <c r="J8" s="31"/>
      <c r="K8" s="31"/>
      <c r="L8" s="31"/>
    </row>
    <row r="9" spans="4:12" x14ac:dyDescent="0.2">
      <c r="D9" s="31"/>
      <c r="E9" s="31"/>
      <c r="F9" s="31"/>
      <c r="G9" s="31"/>
      <c r="H9" s="31"/>
      <c r="I9" s="31"/>
      <c r="J9" s="31"/>
      <c r="K9" s="31"/>
      <c r="L9" s="31"/>
    </row>
    <row r="10" spans="4:12" x14ac:dyDescent="0.2">
      <c r="D10" s="31"/>
      <c r="E10" s="31"/>
      <c r="F10" s="31"/>
      <c r="G10" s="31"/>
      <c r="H10" s="31"/>
      <c r="I10" s="31"/>
      <c r="J10" s="31"/>
      <c r="K10" s="31"/>
      <c r="L10" s="31"/>
    </row>
    <row r="11" spans="4:12" x14ac:dyDescent="0.2">
      <c r="D11" s="31"/>
      <c r="E11" s="31"/>
      <c r="F11" s="31"/>
      <c r="G11" s="31"/>
      <c r="H11" s="31"/>
      <c r="I11" s="31"/>
      <c r="J11" s="31"/>
      <c r="K11" s="31"/>
      <c r="L11" s="31"/>
    </row>
    <row r="12" spans="4:12" x14ac:dyDescent="0.2">
      <c r="D12" s="31"/>
      <c r="E12" s="31"/>
      <c r="F12" s="31"/>
      <c r="G12" s="31"/>
      <c r="H12" s="31"/>
      <c r="I12" s="31"/>
      <c r="J12" s="31"/>
      <c r="K12" s="31"/>
      <c r="L12" s="31"/>
    </row>
    <row r="13" spans="4:12" x14ac:dyDescent="0.2">
      <c r="D13" s="31"/>
      <c r="E13" s="31"/>
      <c r="F13" s="31"/>
      <c r="G13" s="31"/>
      <c r="H13" s="31"/>
      <c r="I13" s="31"/>
      <c r="J13" s="31"/>
      <c r="K13" s="31"/>
      <c r="L13" s="31"/>
    </row>
    <row r="14" spans="4:12" x14ac:dyDescent="0.2">
      <c r="D14" s="31"/>
      <c r="E14" s="31"/>
      <c r="F14" s="31"/>
      <c r="G14" s="31"/>
      <c r="H14" s="31"/>
      <c r="I14" s="31"/>
      <c r="J14" s="31"/>
      <c r="K14" s="31"/>
      <c r="L14" s="31"/>
    </row>
    <row r="15" spans="4:12" x14ac:dyDescent="0.2">
      <c r="D15" s="31"/>
      <c r="E15" s="31"/>
      <c r="F15" s="31"/>
      <c r="G15" s="31"/>
      <c r="H15" s="31"/>
      <c r="I15" s="31"/>
      <c r="J15" s="31"/>
      <c r="K15" s="31"/>
      <c r="L15" s="31"/>
    </row>
    <row r="16" spans="4:12" x14ac:dyDescent="0.2">
      <c r="D16" s="31"/>
      <c r="E16" s="31"/>
      <c r="F16" s="31"/>
      <c r="G16" s="31"/>
      <c r="H16" s="31"/>
      <c r="I16" s="31"/>
      <c r="J16" s="31"/>
      <c r="K16" s="31"/>
      <c r="L16" s="31"/>
    </row>
    <row r="17" spans="4:12" x14ac:dyDescent="0.2">
      <c r="D17" s="31"/>
      <c r="E17" s="31"/>
      <c r="F17" s="31"/>
      <c r="G17" s="31"/>
      <c r="H17" s="31"/>
      <c r="I17" s="31"/>
      <c r="J17" s="31"/>
      <c r="K17" s="31"/>
      <c r="L17" s="31"/>
    </row>
    <row r="18" spans="4:12" x14ac:dyDescent="0.2">
      <c r="D18" s="31"/>
      <c r="E18" s="31"/>
      <c r="F18" s="31"/>
      <c r="G18" s="31"/>
      <c r="H18" s="31"/>
      <c r="I18" s="31"/>
      <c r="J18" s="31"/>
      <c r="K18" s="31"/>
      <c r="L18" s="31"/>
    </row>
    <row r="19" spans="4:12" x14ac:dyDescent="0.2">
      <c r="D19" s="31"/>
      <c r="E19" s="31"/>
      <c r="F19" s="31"/>
      <c r="G19" s="31"/>
      <c r="H19" s="31"/>
      <c r="I19" s="31"/>
      <c r="J19" s="31"/>
      <c r="K19" s="31"/>
      <c r="L19" s="31"/>
    </row>
    <row r="20" spans="4:12" x14ac:dyDescent="0.2">
      <c r="D20" s="31"/>
      <c r="E20" s="31"/>
      <c r="F20" s="31"/>
      <c r="G20" s="31"/>
      <c r="H20" s="31"/>
      <c r="I20" s="31"/>
      <c r="J20" s="31"/>
      <c r="K20" s="31"/>
      <c r="L20" s="31"/>
    </row>
    <row r="21" spans="4:12" x14ac:dyDescent="0.2">
      <c r="D21" s="31"/>
      <c r="E21" s="31"/>
      <c r="F21" s="31"/>
      <c r="G21" s="31"/>
      <c r="H21" s="31"/>
      <c r="I21" s="31"/>
      <c r="J21" s="31"/>
      <c r="K21" s="31"/>
      <c r="L21" s="31"/>
    </row>
    <row r="22" spans="4:12" x14ac:dyDescent="0.2">
      <c r="D22" s="31"/>
      <c r="E22" s="31"/>
      <c r="F22" s="31"/>
      <c r="G22" s="31"/>
      <c r="H22" s="31"/>
      <c r="I22" s="31"/>
      <c r="J22" s="31"/>
      <c r="K22" s="31"/>
      <c r="L22" s="31"/>
    </row>
    <row r="23" spans="4:12" x14ac:dyDescent="0.2">
      <c r="D23" s="31"/>
      <c r="E23" s="31"/>
      <c r="F23" s="31"/>
      <c r="G23" s="31"/>
      <c r="H23" s="31"/>
      <c r="I23" s="31"/>
      <c r="J23" s="31"/>
      <c r="K23" s="31"/>
      <c r="L23" s="31"/>
    </row>
    <row r="24" spans="4:12" x14ac:dyDescent="0.2">
      <c r="D24" s="31"/>
      <c r="E24" s="31"/>
      <c r="F24" s="31"/>
      <c r="G24" s="31"/>
      <c r="H24" s="31"/>
      <c r="I24" s="31"/>
      <c r="J24" s="31"/>
      <c r="K24" s="31"/>
      <c r="L24" s="31"/>
    </row>
    <row r="25" spans="4:12" x14ac:dyDescent="0.2">
      <c r="D25" s="31"/>
      <c r="E25" s="31"/>
      <c r="F25" s="31"/>
      <c r="G25" s="31"/>
      <c r="H25" s="31"/>
      <c r="I25" s="31"/>
      <c r="J25" s="31"/>
      <c r="K25" s="31"/>
      <c r="L25" s="31"/>
    </row>
    <row r="26" spans="4:12" x14ac:dyDescent="0.2">
      <c r="D26" s="31"/>
      <c r="E26" s="31"/>
      <c r="F26" s="31"/>
      <c r="G26" s="31"/>
      <c r="H26" s="31"/>
      <c r="I26" s="31"/>
      <c r="J26" s="31"/>
      <c r="K26" s="31"/>
      <c r="L26" s="31"/>
    </row>
    <row r="27" spans="4:12" x14ac:dyDescent="0.2">
      <c r="D27" s="31"/>
      <c r="E27" s="31"/>
      <c r="F27" s="31"/>
      <c r="G27" s="31"/>
      <c r="H27" s="31"/>
      <c r="I27" s="31"/>
      <c r="J27" s="31"/>
      <c r="K27" s="31"/>
      <c r="L27" s="31"/>
    </row>
    <row r="28" spans="4:12" x14ac:dyDescent="0.2">
      <c r="D28" s="31"/>
      <c r="E28" s="31"/>
      <c r="F28" s="31"/>
      <c r="G28" s="31"/>
      <c r="H28" s="31"/>
      <c r="I28" s="31"/>
      <c r="J28" s="31"/>
      <c r="K28" s="31"/>
      <c r="L28" s="31"/>
    </row>
    <row r="29" spans="4:12" x14ac:dyDescent="0.2">
      <c r="D29" s="31"/>
      <c r="E29" s="31"/>
      <c r="F29" s="31"/>
      <c r="G29" s="31"/>
      <c r="H29" s="31"/>
      <c r="I29" s="31"/>
      <c r="J29" s="31"/>
      <c r="K29" s="31"/>
      <c r="L29" s="31"/>
    </row>
    <row r="30" spans="4:12" x14ac:dyDescent="0.2">
      <c r="D30" s="31"/>
      <c r="E30" s="31"/>
      <c r="F30" s="31"/>
      <c r="G30" s="31"/>
      <c r="H30" s="31"/>
      <c r="I30" s="31"/>
      <c r="J30" s="31"/>
      <c r="K30" s="31"/>
      <c r="L30" s="31"/>
    </row>
    <row r="31" spans="4:12" x14ac:dyDescent="0.2">
      <c r="D31" s="31"/>
      <c r="E31" s="31"/>
      <c r="F31" s="31"/>
      <c r="G31" s="31"/>
      <c r="H31" s="31"/>
      <c r="I31" s="31"/>
      <c r="J31" s="31"/>
      <c r="K31" s="31"/>
      <c r="L31" s="31"/>
    </row>
  </sheetData>
  <mergeCells count="1">
    <mergeCell ref="D3:L31"/>
  </mergeCells>
  <phoneticPr fontId="7" type="noConversion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workbookViewId="0">
      <selection activeCell="D3" sqref="D3"/>
    </sheetView>
  </sheetViews>
  <sheetFormatPr defaultColWidth="10.25" defaultRowHeight="12.75" x14ac:dyDescent="0.2"/>
  <cols>
    <col min="1" max="2" width="13.75" customWidth="1"/>
    <col min="3" max="10" width="10.25" customWidth="1"/>
    <col min="11" max="14" width="12" customWidth="1"/>
    <col min="15" max="15" width="13.75" customWidth="1"/>
  </cols>
  <sheetData>
    <row r="1" spans="1:19" ht="42.6" customHeight="1" x14ac:dyDescent="0.2">
      <c r="C1" s="2"/>
      <c r="D1" s="2"/>
      <c r="E1" s="3"/>
      <c r="F1" s="11" t="s">
        <v>34</v>
      </c>
      <c r="G1" s="11"/>
      <c r="H1" s="11"/>
      <c r="I1" s="11"/>
      <c r="J1" s="3"/>
      <c r="K1" s="3"/>
      <c r="L1" s="3"/>
      <c r="M1" s="3"/>
      <c r="N1" s="3"/>
      <c r="O1" s="3"/>
    </row>
    <row r="2" spans="1:19" ht="193.35" customHeight="1" x14ac:dyDescent="0.2">
      <c r="A2" s="12" t="s">
        <v>14</v>
      </c>
      <c r="B2" s="8" t="s">
        <v>15</v>
      </c>
      <c r="C2" s="6" t="s">
        <v>16</v>
      </c>
      <c r="D2" s="5" t="s">
        <v>1</v>
      </c>
      <c r="E2" s="6" t="s">
        <v>2</v>
      </c>
      <c r="F2" s="8" t="s">
        <v>4</v>
      </c>
      <c r="G2" s="23" t="s">
        <v>39</v>
      </c>
      <c r="H2" s="24" t="s">
        <v>40</v>
      </c>
      <c r="I2" s="25" t="s">
        <v>41</v>
      </c>
      <c r="J2" s="26" t="s">
        <v>5</v>
      </c>
      <c r="K2" s="27" t="s">
        <v>43</v>
      </c>
      <c r="L2" s="28" t="s">
        <v>42</v>
      </c>
      <c r="M2" s="29" t="s">
        <v>44</v>
      </c>
      <c r="N2" s="30" t="s">
        <v>45</v>
      </c>
      <c r="O2" s="10" t="s">
        <v>46</v>
      </c>
    </row>
    <row r="3" spans="1:19" ht="15" x14ac:dyDescent="0.25">
      <c r="A3" s="2" t="s">
        <v>17</v>
      </c>
      <c r="B3" s="2" t="s">
        <v>18</v>
      </c>
      <c r="C3" s="3" t="s">
        <v>19</v>
      </c>
      <c r="D3" s="3" t="s">
        <v>7</v>
      </c>
      <c r="E3" s="3" t="s">
        <v>8</v>
      </c>
      <c r="F3" s="3" t="s">
        <v>10</v>
      </c>
      <c r="G3" s="3" t="s">
        <v>32</v>
      </c>
      <c r="H3" s="3" t="s">
        <v>33</v>
      </c>
      <c r="I3" s="3" t="s">
        <v>35</v>
      </c>
      <c r="J3" s="3" t="s">
        <v>11</v>
      </c>
      <c r="K3" s="3" t="s">
        <v>20</v>
      </c>
      <c r="L3" s="3" t="s">
        <v>37</v>
      </c>
      <c r="M3" s="3" t="s">
        <v>36</v>
      </c>
      <c r="N3" s="3" t="s">
        <v>38</v>
      </c>
      <c r="O3" s="3" t="s">
        <v>21</v>
      </c>
    </row>
    <row r="4" spans="1:19" x14ac:dyDescent="0.2">
      <c r="A4">
        <v>0.05</v>
      </c>
      <c r="B4">
        <v>5.5E-2</v>
      </c>
      <c r="C4">
        <f t="shared" ref="C4:C9" si="0">A4/B4</f>
        <v>0.90909090909090917</v>
      </c>
      <c r="D4">
        <v>19</v>
      </c>
      <c r="E4">
        <v>5</v>
      </c>
      <c r="F4">
        <v>0.3</v>
      </c>
      <c r="G4">
        <v>0.6</v>
      </c>
      <c r="H4">
        <v>0.9</v>
      </c>
      <c r="I4">
        <v>1.2</v>
      </c>
      <c r="J4">
        <v>1.6</v>
      </c>
      <c r="K4" s="13">
        <f>(LN((1-($A$4/$B$4))/EXP(-0.4*(2*PI()*F4/$E$4)^1.4))/(0.35*LN($D$4/90)))^(-1/0.65)</f>
        <v>0.10924625167763974</v>
      </c>
      <c r="L4" s="13">
        <f>(LN((1-(A4/B4))/EXP(-0.4*(2*PI()*G4/E4)^1.4))/(0.35*LN(D4/90)))^(-1/0.65)</f>
        <v>0.1227331447144601</v>
      </c>
      <c r="M4" s="13">
        <f>(LN((1-(A4/B4))/EXP(-0.4*(2*PI()*H4/E4)^1.4))/(0.35*LN(D4/90)))^(-1/0.65)</f>
        <v>0.14352131816745206</v>
      </c>
      <c r="N4" s="13">
        <f>(LN((1-(A4/B4))/EXP(-0.4*(2*PI()*I4/E4)^1.4))/(0.35*LN(D4/90)))^(-1/0.65)</f>
        <v>0.17550469571678581</v>
      </c>
      <c r="O4" s="13">
        <f t="shared" ref="O4:O9" si="1">(LN((1-(A4/B4))/EXP(-0.4*(2*PI()*J4/E4)^1.4))/(0.35*LN(D4/90)))^(-1/0.65)</f>
        <v>0.25172750312245401</v>
      </c>
      <c r="Q4" s="31"/>
      <c r="R4" s="31"/>
      <c r="S4" s="31"/>
    </row>
    <row r="5" spans="1:19" x14ac:dyDescent="0.2">
      <c r="C5" t="e">
        <f t="shared" si="0"/>
        <v>#DIV/0!</v>
      </c>
      <c r="D5">
        <v>19</v>
      </c>
      <c r="E5">
        <v>5</v>
      </c>
      <c r="F5">
        <v>0.3</v>
      </c>
      <c r="G5">
        <v>0.6</v>
      </c>
      <c r="H5">
        <v>0.9</v>
      </c>
      <c r="I5">
        <v>1.2</v>
      </c>
      <c r="J5">
        <v>1.6</v>
      </c>
      <c r="K5" s="13" t="e">
        <f t="shared" ref="K5:K9" si="2">(LN((1-(A5/B5))/EXP(-0.4*(2*PI()*F5/E5)^1.4))/(0.35*LN(D5/90)))^(-1/0.65)</f>
        <v>#DIV/0!</v>
      </c>
      <c r="L5" s="13" t="e">
        <f t="shared" ref="L5:L17" si="3">(LN((1-(A5/B5))/EXP(-0.4*(2*PI()*G5/E5)^1.4))/(0.35*LN(D5/90)))^(-1/0.65)</f>
        <v>#DIV/0!</v>
      </c>
      <c r="M5" s="13" t="e">
        <f t="shared" ref="M5:M17" si="4">(LN((1-(A5/B5))/EXP(-0.4*(2*PI()*H5/E5)^1.4))/(0.35*LN(D5/90)))^(-1/0.65)</f>
        <v>#DIV/0!</v>
      </c>
      <c r="N5" s="13" t="e">
        <f t="shared" ref="N5:N17" si="5">(LN((1-(A5/B5))/EXP(-0.4*(2*PI()*I5/E5)^1.4))/(0.35*LN(D5/90)))^(-1/0.65)</f>
        <v>#DIV/0!</v>
      </c>
      <c r="O5" s="13" t="e">
        <f t="shared" si="1"/>
        <v>#DIV/0!</v>
      </c>
      <c r="P5" s="14"/>
      <c r="Q5" s="31"/>
      <c r="R5" s="31"/>
      <c r="S5" s="31"/>
    </row>
    <row r="6" spans="1:19" x14ac:dyDescent="0.2">
      <c r="C6" t="e">
        <f t="shared" si="0"/>
        <v>#DIV/0!</v>
      </c>
      <c r="D6">
        <v>19</v>
      </c>
      <c r="E6">
        <v>5</v>
      </c>
      <c r="F6">
        <v>0.3</v>
      </c>
      <c r="G6">
        <v>0.6</v>
      </c>
      <c r="H6">
        <v>0.9</v>
      </c>
      <c r="I6">
        <v>1.2</v>
      </c>
      <c r="J6">
        <v>1.6</v>
      </c>
      <c r="K6" s="13" t="e">
        <f t="shared" si="2"/>
        <v>#DIV/0!</v>
      </c>
      <c r="L6" s="13" t="e">
        <f t="shared" si="3"/>
        <v>#DIV/0!</v>
      </c>
      <c r="M6" s="13" t="e">
        <f t="shared" si="4"/>
        <v>#DIV/0!</v>
      </c>
      <c r="N6" s="13" t="e">
        <f t="shared" si="5"/>
        <v>#DIV/0!</v>
      </c>
      <c r="O6" s="13" t="e">
        <f t="shared" si="1"/>
        <v>#DIV/0!</v>
      </c>
      <c r="Q6" s="31"/>
      <c r="R6" s="31"/>
      <c r="S6" s="31"/>
    </row>
    <row r="7" spans="1:19" x14ac:dyDescent="0.2">
      <c r="C7" t="e">
        <f t="shared" si="0"/>
        <v>#DIV/0!</v>
      </c>
      <c r="D7">
        <v>19</v>
      </c>
      <c r="E7">
        <v>5</v>
      </c>
      <c r="F7">
        <v>0.3</v>
      </c>
      <c r="G7">
        <v>0.6</v>
      </c>
      <c r="H7">
        <v>0.9</v>
      </c>
      <c r="I7">
        <v>1.2</v>
      </c>
      <c r="J7">
        <v>1.6</v>
      </c>
      <c r="K7" s="13" t="e">
        <f t="shared" si="2"/>
        <v>#DIV/0!</v>
      </c>
      <c r="L7" s="13" t="e">
        <f t="shared" si="3"/>
        <v>#DIV/0!</v>
      </c>
      <c r="M7" s="13" t="e">
        <f t="shared" si="4"/>
        <v>#DIV/0!</v>
      </c>
      <c r="N7" s="13" t="e">
        <f t="shared" si="5"/>
        <v>#DIV/0!</v>
      </c>
      <c r="O7" s="13" t="e">
        <f t="shared" si="1"/>
        <v>#DIV/0!</v>
      </c>
      <c r="Q7" s="31"/>
      <c r="R7" s="31"/>
      <c r="S7" s="31"/>
    </row>
    <row r="8" spans="1:19" x14ac:dyDescent="0.2">
      <c r="C8" t="e">
        <f t="shared" si="0"/>
        <v>#DIV/0!</v>
      </c>
      <c r="D8">
        <v>19</v>
      </c>
      <c r="E8">
        <v>5</v>
      </c>
      <c r="F8">
        <v>0.3</v>
      </c>
      <c r="G8">
        <v>0.6</v>
      </c>
      <c r="H8">
        <v>0.9</v>
      </c>
      <c r="I8">
        <v>1.2</v>
      </c>
      <c r="J8">
        <v>1.6</v>
      </c>
      <c r="K8" s="13" t="e">
        <f t="shared" si="2"/>
        <v>#DIV/0!</v>
      </c>
      <c r="L8" s="13" t="e">
        <f t="shared" si="3"/>
        <v>#DIV/0!</v>
      </c>
      <c r="M8" s="13" t="e">
        <f t="shared" si="4"/>
        <v>#DIV/0!</v>
      </c>
      <c r="N8" s="13" t="e">
        <f t="shared" si="5"/>
        <v>#DIV/0!</v>
      </c>
      <c r="O8" s="13" t="e">
        <f t="shared" si="1"/>
        <v>#DIV/0!</v>
      </c>
      <c r="Q8" s="31"/>
      <c r="R8" s="31"/>
      <c r="S8" s="31"/>
    </row>
    <row r="9" spans="1:19" x14ac:dyDescent="0.2">
      <c r="C9" t="e">
        <f t="shared" si="0"/>
        <v>#DIV/0!</v>
      </c>
      <c r="D9">
        <v>19</v>
      </c>
      <c r="E9">
        <v>5</v>
      </c>
      <c r="F9">
        <v>0.3</v>
      </c>
      <c r="G9">
        <v>0.6</v>
      </c>
      <c r="H9">
        <v>0.9</v>
      </c>
      <c r="I9">
        <v>1.2</v>
      </c>
      <c r="J9">
        <v>1.6</v>
      </c>
      <c r="K9" s="13" t="e">
        <f t="shared" si="2"/>
        <v>#DIV/0!</v>
      </c>
      <c r="L9" s="13" t="e">
        <f t="shared" si="3"/>
        <v>#DIV/0!</v>
      </c>
      <c r="M9" s="13" t="e">
        <f t="shared" si="4"/>
        <v>#DIV/0!</v>
      </c>
      <c r="N9" s="13" t="e">
        <f t="shared" si="5"/>
        <v>#DIV/0!</v>
      </c>
      <c r="O9" s="13" t="e">
        <f t="shared" si="1"/>
        <v>#DIV/0!</v>
      </c>
      <c r="Q9" s="31"/>
      <c r="R9" s="31"/>
      <c r="S9" s="31"/>
    </row>
    <row r="10" spans="1:19" x14ac:dyDescent="0.2">
      <c r="C10" t="e">
        <f t="shared" ref="C10:C17" si="6">A10/B10</f>
        <v>#DIV/0!</v>
      </c>
      <c r="D10">
        <v>19</v>
      </c>
      <c r="E10">
        <v>5</v>
      </c>
      <c r="F10">
        <v>0.3</v>
      </c>
      <c r="G10">
        <v>0.6</v>
      </c>
      <c r="H10">
        <v>0.9</v>
      </c>
      <c r="I10">
        <v>1.2</v>
      </c>
      <c r="J10">
        <v>1.6</v>
      </c>
      <c r="K10" s="13" t="e">
        <f>(LN((1-(A10/B10))/EXP(-0.4*(2*PI()*F10/E10)^1.4))/(0.35*LN(D10/90)))^(-1/0.65)</f>
        <v>#DIV/0!</v>
      </c>
      <c r="L10" s="13" t="e">
        <f t="shared" si="3"/>
        <v>#DIV/0!</v>
      </c>
      <c r="M10" s="13" t="e">
        <f t="shared" si="4"/>
        <v>#DIV/0!</v>
      </c>
      <c r="N10" s="13" t="e">
        <f t="shared" si="5"/>
        <v>#DIV/0!</v>
      </c>
      <c r="O10" s="13" t="e">
        <f>(LN((1-(A10/B10))/EXP(-0.4*(2*PI()*J10/E10)^1.4))/(0.35*LN(D10/90)))^(-1/0.65)</f>
        <v>#DIV/0!</v>
      </c>
      <c r="Q10" s="31"/>
      <c r="R10" s="31"/>
      <c r="S10" s="31"/>
    </row>
    <row r="11" spans="1:19" x14ac:dyDescent="0.2">
      <c r="C11" t="e">
        <f t="shared" si="6"/>
        <v>#DIV/0!</v>
      </c>
      <c r="D11">
        <v>19</v>
      </c>
      <c r="E11">
        <v>5</v>
      </c>
      <c r="F11">
        <v>0.3</v>
      </c>
      <c r="G11">
        <v>0.6</v>
      </c>
      <c r="H11">
        <v>0.9</v>
      </c>
      <c r="I11">
        <v>1.2</v>
      </c>
      <c r="J11">
        <v>1.6</v>
      </c>
      <c r="K11" s="13" t="e">
        <f>(LN((1-(A11/B11))/EXP(-0.4*(2*PI()*F11/E11)^1.4))/(0.35*LN(D11/90)))^(-1/0.65)</f>
        <v>#DIV/0!</v>
      </c>
      <c r="L11" s="13" t="e">
        <f t="shared" si="3"/>
        <v>#DIV/0!</v>
      </c>
      <c r="M11" s="13" t="e">
        <f t="shared" si="4"/>
        <v>#DIV/0!</v>
      </c>
      <c r="N11" s="13" t="e">
        <f t="shared" si="5"/>
        <v>#DIV/0!</v>
      </c>
      <c r="O11" s="13" t="e">
        <f>(LN((1-(A11/B11))/EXP(-0.4*(2*PI()*J11/E11)^1.4))/(0.35*LN(D11/90)))^(-1/0.65)</f>
        <v>#DIV/0!</v>
      </c>
      <c r="Q11" s="31"/>
      <c r="R11" s="31"/>
      <c r="S11" s="31"/>
    </row>
    <row r="12" spans="1:19" x14ac:dyDescent="0.2">
      <c r="C12" t="e">
        <f t="shared" si="6"/>
        <v>#DIV/0!</v>
      </c>
      <c r="D12">
        <v>19</v>
      </c>
      <c r="E12">
        <v>5</v>
      </c>
      <c r="F12">
        <v>0.3</v>
      </c>
      <c r="G12">
        <v>0.6</v>
      </c>
      <c r="H12">
        <v>0.9</v>
      </c>
      <c r="I12">
        <v>1.2</v>
      </c>
      <c r="J12">
        <v>1.6</v>
      </c>
      <c r="K12" s="13" t="e">
        <f>(LN((1-(A12/B12))/EXP(-0.4*(2*PI()*F12/E12)^1.4))/(0.35*LN(D12/90)))^(-1/0.65)</f>
        <v>#DIV/0!</v>
      </c>
      <c r="L12" s="13" t="e">
        <f t="shared" si="3"/>
        <v>#DIV/0!</v>
      </c>
      <c r="M12" s="13" t="e">
        <f t="shared" si="4"/>
        <v>#DIV/0!</v>
      </c>
      <c r="N12" s="13" t="e">
        <f t="shared" si="5"/>
        <v>#DIV/0!</v>
      </c>
      <c r="O12" s="13" t="e">
        <f>(LN((1-(A12/B12))/EXP(-0.4*(2*PI()*J12/E12)^1.4))/(0.35*LN(D12/90)))^(-1/0.65)</f>
        <v>#DIV/0!</v>
      </c>
      <c r="Q12" s="31"/>
      <c r="R12" s="31"/>
      <c r="S12" s="31"/>
    </row>
    <row r="13" spans="1:19" x14ac:dyDescent="0.2">
      <c r="C13" t="e">
        <f t="shared" si="6"/>
        <v>#DIV/0!</v>
      </c>
      <c r="D13">
        <v>19</v>
      </c>
      <c r="E13">
        <v>5</v>
      </c>
      <c r="F13">
        <v>0.3</v>
      </c>
      <c r="G13">
        <v>0.6</v>
      </c>
      <c r="H13">
        <v>0.9</v>
      </c>
      <c r="I13">
        <v>1.2</v>
      </c>
      <c r="J13">
        <v>1.6</v>
      </c>
      <c r="K13" s="13" t="e">
        <f t="shared" ref="K13:K17" si="7">(LN((1-(A13/B13))/EXP(-0.4*(2*PI()*F13/E13)^1.4))/(0.35*LN(D13/90)))^(-1/0.65)</f>
        <v>#DIV/0!</v>
      </c>
      <c r="L13" s="13" t="e">
        <f t="shared" si="3"/>
        <v>#DIV/0!</v>
      </c>
      <c r="M13" s="13" t="e">
        <f t="shared" si="4"/>
        <v>#DIV/0!</v>
      </c>
      <c r="N13" s="13" t="e">
        <f t="shared" si="5"/>
        <v>#DIV/0!</v>
      </c>
      <c r="O13" s="13" t="e">
        <f t="shared" ref="O13:O17" si="8">(LN((1-(A13/B13))/EXP(-0.4*(2*PI()*J13/E13)^1.4))/(0.35*LN(D13/90)))^(-1/0.65)</f>
        <v>#DIV/0!</v>
      </c>
    </row>
    <row r="14" spans="1:19" x14ac:dyDescent="0.2">
      <c r="C14" t="e">
        <f t="shared" si="6"/>
        <v>#DIV/0!</v>
      </c>
      <c r="D14">
        <v>19</v>
      </c>
      <c r="E14">
        <v>5</v>
      </c>
      <c r="F14">
        <v>0.3</v>
      </c>
      <c r="G14">
        <v>0.6</v>
      </c>
      <c r="H14">
        <v>0.9</v>
      </c>
      <c r="I14">
        <v>1.2</v>
      </c>
      <c r="J14">
        <v>1.6</v>
      </c>
      <c r="K14" s="13" t="e">
        <f t="shared" si="7"/>
        <v>#DIV/0!</v>
      </c>
      <c r="L14" s="13" t="e">
        <f t="shared" si="3"/>
        <v>#DIV/0!</v>
      </c>
      <c r="M14" s="13" t="e">
        <f t="shared" si="4"/>
        <v>#DIV/0!</v>
      </c>
      <c r="N14" s="13" t="e">
        <f t="shared" si="5"/>
        <v>#DIV/0!</v>
      </c>
      <c r="O14" s="13" t="e">
        <f t="shared" si="8"/>
        <v>#DIV/0!</v>
      </c>
    </row>
    <row r="15" spans="1:19" x14ac:dyDescent="0.2">
      <c r="C15" t="e">
        <f t="shared" si="6"/>
        <v>#DIV/0!</v>
      </c>
      <c r="D15">
        <v>19</v>
      </c>
      <c r="E15">
        <v>5</v>
      </c>
      <c r="F15">
        <v>0.3</v>
      </c>
      <c r="G15">
        <v>0.6</v>
      </c>
      <c r="H15">
        <v>0.9</v>
      </c>
      <c r="I15">
        <v>1.2</v>
      </c>
      <c r="J15">
        <v>1.6</v>
      </c>
      <c r="K15" s="13" t="e">
        <f t="shared" si="7"/>
        <v>#DIV/0!</v>
      </c>
      <c r="L15" s="13" t="e">
        <f t="shared" si="3"/>
        <v>#DIV/0!</v>
      </c>
      <c r="M15" s="13" t="e">
        <f t="shared" si="4"/>
        <v>#DIV/0!</v>
      </c>
      <c r="N15" s="13" t="e">
        <f t="shared" si="5"/>
        <v>#DIV/0!</v>
      </c>
      <c r="O15" s="13" t="e">
        <f t="shared" si="8"/>
        <v>#DIV/0!</v>
      </c>
      <c r="P15" s="13"/>
    </row>
    <row r="16" spans="1:19" x14ac:dyDescent="0.2">
      <c r="C16" t="e">
        <f t="shared" si="6"/>
        <v>#DIV/0!</v>
      </c>
      <c r="D16">
        <v>19</v>
      </c>
      <c r="E16">
        <v>5</v>
      </c>
      <c r="F16">
        <v>0.3</v>
      </c>
      <c r="G16">
        <v>0.6</v>
      </c>
      <c r="H16">
        <v>0.9</v>
      </c>
      <c r="I16">
        <v>1.2</v>
      </c>
      <c r="J16">
        <v>1.6</v>
      </c>
      <c r="K16" s="13" t="e">
        <f t="shared" si="7"/>
        <v>#DIV/0!</v>
      </c>
      <c r="L16" s="13" t="e">
        <f t="shared" si="3"/>
        <v>#DIV/0!</v>
      </c>
      <c r="M16" s="13" t="e">
        <f t="shared" si="4"/>
        <v>#DIV/0!</v>
      </c>
      <c r="N16" s="13" t="e">
        <f t="shared" si="5"/>
        <v>#DIV/0!</v>
      </c>
      <c r="O16" s="13" t="e">
        <f t="shared" si="8"/>
        <v>#DIV/0!</v>
      </c>
    </row>
    <row r="17" spans="3:15" x14ac:dyDescent="0.2">
      <c r="C17" t="e">
        <f t="shared" si="6"/>
        <v>#DIV/0!</v>
      </c>
      <c r="D17">
        <v>19</v>
      </c>
      <c r="E17">
        <v>5</v>
      </c>
      <c r="F17">
        <v>0.3</v>
      </c>
      <c r="G17">
        <v>0.6</v>
      </c>
      <c r="H17">
        <v>0.9</v>
      </c>
      <c r="I17">
        <v>1.2</v>
      </c>
      <c r="J17">
        <v>1.6</v>
      </c>
      <c r="K17" s="13" t="e">
        <f t="shared" si="7"/>
        <v>#DIV/0!</v>
      </c>
      <c r="L17" s="13" t="e">
        <f t="shared" si="3"/>
        <v>#DIV/0!</v>
      </c>
      <c r="M17" s="13" t="e">
        <f t="shared" si="4"/>
        <v>#DIV/0!</v>
      </c>
      <c r="N17" s="13" t="e">
        <f t="shared" si="5"/>
        <v>#DIV/0!</v>
      </c>
      <c r="O17" s="13" t="e">
        <f t="shared" si="8"/>
        <v>#DIV/0!</v>
      </c>
    </row>
  </sheetData>
  <mergeCells count="1">
    <mergeCell ref="Q4:S12"/>
  </mergeCells>
  <phoneticPr fontId="7" type="noConversion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 r:id="rId1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Introducción</vt:lpstr>
      <vt:lpstr>Modelo Directo</vt:lpstr>
      <vt:lpstr>Versión extendida</vt:lpstr>
      <vt:lpstr>Modelo Inverso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Mercedes</cp:lastModifiedBy>
  <dcterms:created xsi:type="dcterms:W3CDTF">2009-09-07T20:15:02Z</dcterms:created>
  <dcterms:modified xsi:type="dcterms:W3CDTF">2021-08-21T20:07:22Z</dcterms:modified>
</cp:coreProperties>
</file>